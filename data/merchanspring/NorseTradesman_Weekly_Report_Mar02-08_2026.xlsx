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📣 Advertising" sheetId="2" state="visible" r:id="rId2"/>
    <sheet xmlns:r="http://schemas.openxmlformats.org/officeDocument/2006/relationships" name="📦 Inventory &amp; Health" sheetId="3" state="visible" r:id="rId3"/>
    <sheet xmlns:r="http://schemas.openxmlformats.org/officeDocument/2006/relationships" name="📈 WoW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#,##0.00;(#,##0.00)"/>
    <numFmt numFmtId="166" formatCode="0.0"/>
    <numFmt numFmtId="167" formatCode="0.0&quot;%&quot;"/>
  </numFmts>
  <fonts count="1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AAAAAA"/>
      <sz val="9"/>
    </font>
    <font>
      <name val="Arial"/>
      <color rgb="FF888888"/>
      <sz val="8"/>
    </font>
    <font>
      <name val="Arial"/>
      <b val="1"/>
      <color rgb="001A1A1A"/>
      <sz val="14"/>
    </font>
    <font>
      <name val="Arial"/>
      <color rgb="00E74C3C"/>
      <sz val="8"/>
    </font>
    <font>
      <name val="Arial"/>
      <color rgb="002ECC71"/>
      <sz val="8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color rgb="001A1A1A"/>
      <sz val="9"/>
    </font>
    <font>
      <name val="Arial"/>
      <b val="1"/>
      <color rgb="00E74C3C"/>
      <sz val="9"/>
    </font>
    <font>
      <name val="Arial"/>
      <b val="1"/>
      <color rgb="FFFFFFFF"/>
      <sz val="14"/>
    </font>
    <font>
      <name val="Arial"/>
      <b val="1"/>
      <color rgb="002ECC71"/>
      <sz val="9"/>
    </font>
    <font>
      <name val="Arial"/>
      <b val="1"/>
      <color rgb="FFFFFFFF"/>
      <sz val="8"/>
    </font>
    <font>
      <name val="Arial"/>
      <b val="1"/>
      <color rgb="FFFFFFFF"/>
      <sz val="15"/>
    </font>
    <font>
      <name val="Arial"/>
      <color rgb="FF1A1A1A"/>
      <sz val="9"/>
    </font>
  </fonts>
  <fills count="35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E85B03"/>
      </patternFill>
    </fill>
    <fill>
      <patternFill patternType="solid">
        <fgColor rgb="FFF2F2F2"/>
      </patternFill>
    </fill>
    <fill>
      <patternFill patternType="solid">
        <fgColor rgb="FF3A3A3A"/>
      </patternFill>
    </fill>
    <fill>
      <patternFill patternType="solid">
        <fgColor rgb="FFFFFFFF"/>
      </patternFill>
    </fill>
    <fill>
      <patternFill patternType="solid">
        <fgColor rgb="FFF8F8F8"/>
      </patternFill>
    </fill>
    <fill>
      <patternFill patternType="solid">
        <fgColor rgb="FFB84700"/>
      </patternFill>
    </fill>
    <fill>
      <patternFill patternType="solid">
        <fgColor rgb="FF2C3E50"/>
      </patternFill>
    </fill>
    <fill>
      <patternFill patternType="solid">
        <fgColor rgb="FF16A085"/>
      </patternFill>
    </fill>
    <fill>
      <patternFill patternType="solid">
        <fgColor rgb="FF8E44AD"/>
      </patternFill>
    </fill>
    <fill>
      <patternFill patternType="solid">
        <fgColor rgb="FF2980B9"/>
      </patternFill>
    </fill>
    <fill>
      <patternFill patternType="solid">
        <fgColor rgb="FF27AE60"/>
      </patternFill>
    </fill>
    <fill>
      <patternFill patternType="solid">
        <fgColor rgb="FF6D4C41"/>
      </patternFill>
    </fill>
    <fill>
      <patternFill patternType="solid">
        <fgColor rgb="FF546E7A"/>
      </patternFill>
    </fill>
    <fill>
      <patternFill patternType="solid">
        <fgColor rgb="FFFFF3EC"/>
      </patternFill>
    </fill>
    <fill>
      <patternFill patternType="solid">
        <fgColor rgb="FFFFF0E6"/>
      </patternFill>
    </fill>
    <fill>
      <patternFill patternType="solid">
        <fgColor rgb="FFF0F3F6"/>
      </patternFill>
    </fill>
    <fill>
      <patternFill patternType="solid">
        <fgColor rgb="FFE8F8F5"/>
      </patternFill>
    </fill>
    <fill>
      <patternFill patternType="solid">
        <fgColor rgb="FFF5EEF8"/>
      </patternFill>
    </fill>
    <fill>
      <patternFill patternType="solid">
        <fgColor rgb="FFEAF4FB"/>
      </patternFill>
    </fill>
    <fill>
      <patternFill patternType="solid">
        <fgColor rgb="FFE9F7EF"/>
      </patternFill>
    </fill>
    <fill>
      <patternFill patternType="solid">
        <fgColor rgb="FFF5F0EE"/>
      </patternFill>
    </fill>
    <fill>
      <patternFill patternType="solid">
        <fgColor rgb="FFECEFF1"/>
      </patternFill>
    </fill>
    <fill>
      <patternFill patternType="solid">
        <fgColor rgb="FFF5F5F5"/>
      </patternFill>
    </fill>
    <fill>
      <patternFill patternType="solid">
        <fgColor rgb="FFFDE8D4"/>
      </patternFill>
    </fill>
    <fill>
      <patternFill patternType="solid">
        <fgColor rgb="FFFDE2CC"/>
      </patternFill>
    </fill>
    <fill>
      <patternFill patternType="solid">
        <fgColor rgb="FFD6E4EF"/>
      </patternFill>
    </fill>
    <fill>
      <patternFill patternType="solid">
        <fgColor rgb="FFD1F2EA"/>
      </patternFill>
    </fill>
    <fill>
      <patternFill patternType="solid">
        <fgColor rgb="FFEBDEF0"/>
      </patternFill>
    </fill>
    <fill>
      <patternFill patternType="solid">
        <fgColor rgb="FFD4E6F1"/>
      </patternFill>
    </fill>
    <fill>
      <patternFill patternType="solid">
        <fgColor rgb="FFD5F5E3"/>
      </patternFill>
    </fill>
    <fill>
      <patternFill patternType="solid">
        <fgColor rgb="FFE8DDD9"/>
      </patternFill>
    </fill>
    <fill>
      <patternFill patternType="solid">
        <fgColor rgb="FFD6DBDF"/>
      </patternFill>
    </fill>
  </fills>
  <borders count="19">
    <border>
      <left/>
      <right/>
      <top/>
      <bottom/>
      <diagonal/>
    </border>
    <border>
      <bottom style="medium">
        <color rgb="FFFFFFFF"/>
      </bottom>
    </border>
    <border>
      <left style="medium">
        <color rgb="FF444444"/>
      </left>
      <top style="medium">
        <color rgb="FF444444"/>
      </top>
      <bottom style="medium">
        <color rgb="FF444444"/>
      </bottom>
    </border>
    <border>
      <left style="thin">
        <color rgb="FFD0D0D0"/>
      </left>
      <right style="medium">
        <color rgb="FF444444"/>
      </right>
      <top style="medium">
        <color rgb="FF444444"/>
      </top>
      <bottom style="medium">
        <color rgb="FF444444"/>
      </bottom>
    </border>
    <border>
      <left style="medium">
        <color rgb="FF555555"/>
      </left>
      <top style="medium">
        <color rgb="FF555555"/>
      </top>
      <bottom style="thin">
        <color rgb="FFAAAAAA"/>
      </bottom>
    </border>
    <border>
      <top style="medium">
        <color rgb="FF555555"/>
      </top>
      <bottom style="thin">
        <color rgb="FFAAAAAA"/>
      </bottom>
    </border>
    <border>
      <right style="medium">
        <color rgb="FF555555"/>
      </right>
      <top style="medium">
        <color rgb="FF555555"/>
      </top>
      <bottom style="thin">
        <color rgb="FFAAAAAA"/>
      </bottom>
    </border>
    <border>
      <left style="medium">
        <color rgb="FF555555"/>
      </left>
      <top style="thin">
        <color rgb="FFAAAAAA"/>
      </top>
      <bottom style="medium">
        <color rgb="FF555555"/>
      </bottom>
    </border>
    <border>
      <left style="thin">
        <color rgb="FFBBBBBB"/>
      </left>
      <right style="medium">
        <color rgb="FF555555"/>
      </right>
      <top style="thin">
        <color rgb="FFAAAAAA"/>
      </top>
      <bottom style="medium">
        <color rgb="FF555555"/>
      </bottom>
    </border>
    <border>
      <left style="thin">
        <color rgb="FFBBBBBB"/>
      </left>
      <top style="thin">
        <color rgb="FFAAAAAA"/>
      </top>
      <bottom style="medium">
        <color rgb="FF555555"/>
      </bottom>
    </border>
    <border>
      <left style="medium">
        <color rgb="FF555555"/>
      </left>
      <right style="medium">
        <color rgb="FF555555"/>
      </right>
      <top style="thin">
        <color rgb="FFAAAAAA"/>
      </top>
      <bottom style="medium">
        <color rgb="FF555555"/>
      </bottom>
    </border>
    <border>
      <left style="medium">
        <color rgb="FF888888"/>
      </left>
      <bottom style="thin">
        <color rgb="FFD8D8D8"/>
      </bottom>
    </border>
    <border>
      <left style="thin">
        <color rgb="FFD8D8D8"/>
      </left>
      <right style="medium">
        <color rgb="FF888888"/>
      </right>
      <bottom style="thin">
        <color rgb="FFD8D8D8"/>
      </bottom>
    </border>
    <border>
      <left style="thin">
        <color rgb="FFD8D8D8"/>
      </left>
      <bottom style="thin">
        <color rgb="FFD8D8D8"/>
      </bottom>
    </border>
    <border>
      <left style="medium">
        <color rgb="FF888888"/>
      </left>
      <right style="medium">
        <color rgb="FF888888"/>
      </right>
      <bottom style="thin">
        <color rgb="FFD8D8D8"/>
      </bottom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left style="thin">
        <color rgb="FF555555"/>
      </left>
      <right style="medium">
        <color rgb="FF666666"/>
      </right>
      <top style="medium">
        <color rgb="FF666666"/>
      </top>
      <bottom style="medium">
        <color rgb="FF666666"/>
      </bottom>
    </border>
    <border>
      <left style="thin">
        <color rgb="FF555555"/>
      </left>
      <top style="medium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3" fillId="4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top"/>
    </xf>
    <xf numFmtId="0" fontId="6" fillId="4" borderId="0" applyAlignment="1" pivotButton="0" quotePrefix="0" xfId="0">
      <alignment horizontal="center" vertical="top"/>
    </xf>
    <xf numFmtId="0" fontId="7" fillId="5" borderId="0" applyAlignment="1" pivotButton="0" quotePrefix="0" xfId="0">
      <alignment horizontal="left" vertical="center" indent="2"/>
    </xf>
    <xf numFmtId="0" fontId="8" fillId="3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/>
    </xf>
    <xf numFmtId="4" fontId="9" fillId="6" borderId="0" applyAlignment="1" pivotButton="0" quotePrefix="0" xfId="0">
      <alignment horizontal="right" vertical="center"/>
    </xf>
    <xf numFmtId="3" fontId="9" fillId="6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right" vertical="center"/>
    </xf>
    <xf numFmtId="165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4" fontId="9" fillId="7" borderId="0" applyAlignment="1" pivotButton="0" quotePrefix="0" xfId="0">
      <alignment horizontal="right" vertical="center"/>
    </xf>
    <xf numFmtId="3" fontId="9" fillId="7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right" vertical="center"/>
    </xf>
    <xf numFmtId="165" fontId="9" fillId="7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6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right" vertical="center"/>
    </xf>
    <xf numFmtId="4" fontId="8" fillId="2" borderId="0" applyAlignment="1" pivotButton="0" quotePrefix="0" xfId="0">
      <alignment horizontal="right" vertical="center"/>
    </xf>
    <xf numFmtId="3" fontId="8" fillId="2" borderId="0" applyAlignment="1" pivotButton="0" quotePrefix="0" xfId="0">
      <alignment horizontal="right" vertical="center"/>
    </xf>
    <xf numFmtId="164" fontId="8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 indent="2"/>
    </xf>
    <xf numFmtId="0" fontId="8" fillId="3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3" fontId="9" fillId="6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4" fontId="9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3" fontId="9" fillId="7" borderId="0" applyAlignment="1" pivotButton="0" quotePrefix="0" xfId="0">
      <alignment horizontal="right" vertical="center"/>
    </xf>
    <xf numFmtId="164" fontId="9" fillId="7" borderId="0" applyAlignment="1" pivotButton="0" quotePrefix="0" xfId="0">
      <alignment horizontal="right" vertical="center"/>
    </xf>
    <xf numFmtId="4" fontId="9" fillId="7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166" fontId="9" fillId="6" borderId="0" applyAlignment="1" pivotButton="0" quotePrefix="0" xfId="0">
      <alignment horizontal="right" vertical="center"/>
    </xf>
    <xf numFmtId="166" fontId="9" fillId="7" borderId="0" applyAlignment="1" pivotButton="0" quotePrefix="0" xfId="0">
      <alignment horizontal="right" vertical="center"/>
    </xf>
    <xf numFmtId="166" fontId="8" fillId="2" borderId="0" applyAlignment="1" pivotButton="0" quotePrefix="0" xfId="0">
      <alignment horizontal="right" vertical="center"/>
    </xf>
    <xf numFmtId="167" fontId="10" fillId="6" borderId="0" applyAlignment="1" pivotButton="0" quotePrefix="0" xfId="0">
      <alignment horizontal="right" vertical="center"/>
    </xf>
    <xf numFmtId="167" fontId="12" fillId="6" borderId="0" applyAlignment="1" pivotButton="0" quotePrefix="0" xfId="0">
      <alignment horizontal="right" vertical="center"/>
    </xf>
    <xf numFmtId="167" fontId="10" fillId="7" borderId="0" applyAlignment="1" pivotButton="0" quotePrefix="0" xfId="0">
      <alignment horizontal="right" vertical="center"/>
    </xf>
    <xf numFmtId="167" fontId="12" fillId="7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 wrapText="1"/>
    </xf>
    <xf numFmtId="167" fontId="9" fillId="7" borderId="0" applyAlignment="1" pivotButton="0" quotePrefix="0" xfId="0">
      <alignment horizontal="right" vertical="center"/>
    </xf>
    <xf numFmtId="167" fontId="9" fillId="6" borderId="0" applyAlignment="1" pivotButton="0" quotePrefix="0" xfId="0">
      <alignment horizontal="right" vertical="center"/>
    </xf>
    <xf numFmtId="167" fontId="8" fillId="2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left" vertical="center" indent="2"/>
    </xf>
    <xf numFmtId="0" fontId="0" fillId="2" borderId="2" pivotButton="0" quotePrefix="0" xfId="0"/>
    <xf numFmtId="0" fontId="0" fillId="2" borderId="3" pivotButton="0" quotePrefix="0" xfId="0"/>
    <xf numFmtId="0" fontId="8" fillId="3" borderId="4" applyAlignment="1" pivotButton="0" quotePrefix="0" xfId="0">
      <alignment horizontal="center" vertical="center"/>
    </xf>
    <xf numFmtId="0" fontId="0" fillId="3" borderId="5" pivotButton="0" quotePrefix="0" xfId="0"/>
    <xf numFmtId="0" fontId="0" fillId="3" borderId="6" pivotButton="0" quotePrefix="0" xfId="0"/>
    <xf numFmtId="0" fontId="8" fillId="8" borderId="4" applyAlignment="1" pivotButton="0" quotePrefix="0" xfId="0">
      <alignment horizontal="center" vertical="center"/>
    </xf>
    <xf numFmtId="0" fontId="0" fillId="8" borderId="5" pivotButton="0" quotePrefix="0" xfId="0"/>
    <xf numFmtId="0" fontId="0" fillId="8" borderId="6" pivotButton="0" quotePrefix="0" xfId="0"/>
    <xf numFmtId="0" fontId="8" fillId="9" borderId="4" applyAlignment="1" pivotButton="0" quotePrefix="0" xfId="0">
      <alignment horizontal="center" vertical="center"/>
    </xf>
    <xf numFmtId="0" fontId="0" fillId="9" borderId="5" pivotButton="0" quotePrefix="0" xfId="0"/>
    <xf numFmtId="0" fontId="0" fillId="9" borderId="6" pivotButton="0" quotePrefix="0" xfId="0"/>
    <xf numFmtId="0" fontId="8" fillId="10" borderId="4" applyAlignment="1" pivotButton="0" quotePrefix="0" xfId="0">
      <alignment horizontal="center" vertical="center"/>
    </xf>
    <xf numFmtId="0" fontId="0" fillId="10" borderId="5" pivotButton="0" quotePrefix="0" xfId="0"/>
    <xf numFmtId="0" fontId="0" fillId="10" borderId="6" pivotButton="0" quotePrefix="0" xfId="0"/>
    <xf numFmtId="0" fontId="8" fillId="11" borderId="4" applyAlignment="1" pivotButton="0" quotePrefix="0" xfId="0">
      <alignment horizontal="center" vertical="center"/>
    </xf>
    <xf numFmtId="0" fontId="0" fillId="11" borderId="5" pivotButton="0" quotePrefix="0" xfId="0"/>
    <xf numFmtId="0" fontId="0" fillId="11" borderId="6" pivotButton="0" quotePrefix="0" xfId="0"/>
    <xf numFmtId="0" fontId="8" fillId="12" borderId="4" applyAlignment="1" pivotButton="0" quotePrefix="0" xfId="0">
      <alignment horizontal="center" vertical="center"/>
    </xf>
    <xf numFmtId="0" fontId="0" fillId="12" borderId="5" pivotButton="0" quotePrefix="0" xfId="0"/>
    <xf numFmtId="0" fontId="0" fillId="12" borderId="6" pivotButton="0" quotePrefix="0" xfId="0"/>
    <xf numFmtId="0" fontId="8" fillId="13" borderId="4" applyAlignment="1" pivotButton="0" quotePrefix="0" xfId="0">
      <alignment horizontal="center" vertical="center"/>
    </xf>
    <xf numFmtId="0" fontId="0" fillId="13" borderId="5" pivotButton="0" quotePrefix="0" xfId="0"/>
    <xf numFmtId="0" fontId="0" fillId="13" borderId="6" pivotButton="0" quotePrefix="0" xfId="0"/>
    <xf numFmtId="0" fontId="8" fillId="14" borderId="4" applyAlignment="1" pivotButton="0" quotePrefix="0" xfId="0">
      <alignment horizontal="center" vertical="center"/>
    </xf>
    <xf numFmtId="0" fontId="0" fillId="14" borderId="5" pivotButton="0" quotePrefix="0" xfId="0"/>
    <xf numFmtId="0" fontId="0" fillId="14" borderId="6" pivotButton="0" quotePrefix="0" xfId="0"/>
    <xf numFmtId="0" fontId="8" fillId="15" borderId="4" applyAlignment="1" pivotButton="0" quotePrefix="0" xfId="0">
      <alignment horizontal="center" vertical="center"/>
    </xf>
    <xf numFmtId="0" fontId="13" fillId="2" borderId="7" applyAlignment="1" pivotButton="0" quotePrefix="0" xfId="0">
      <alignment horizontal="left" vertical="center" wrapText="1"/>
    </xf>
    <xf numFmtId="0" fontId="13" fillId="2" borderId="8" applyAlignment="1" pivotButton="0" quotePrefix="0" xfId="0">
      <alignment horizontal="center" vertical="center" wrapText="1"/>
    </xf>
    <xf numFmtId="0" fontId="13" fillId="3" borderId="7" applyAlignment="1" pivotButton="0" quotePrefix="0" xfId="0">
      <alignment horizontal="center" vertical="center" wrapText="1"/>
    </xf>
    <xf numFmtId="0" fontId="13" fillId="3" borderId="9" applyAlignment="1" pivotButton="0" quotePrefix="0" xfId="0">
      <alignment horizontal="center" vertical="center" wrapText="1"/>
    </xf>
    <xf numFmtId="0" fontId="13" fillId="3" borderId="8" applyAlignment="1" pivotButton="0" quotePrefix="0" xfId="0">
      <alignment horizontal="center" vertical="center" wrapText="1"/>
    </xf>
    <xf numFmtId="0" fontId="13" fillId="8" borderId="7" applyAlignment="1" pivotButton="0" quotePrefix="0" xfId="0">
      <alignment horizontal="center" vertical="center" wrapText="1"/>
    </xf>
    <xf numFmtId="0" fontId="13" fillId="8" borderId="9" applyAlignment="1" pivotButton="0" quotePrefix="0" xfId="0">
      <alignment horizontal="center" vertical="center" wrapText="1"/>
    </xf>
    <xf numFmtId="0" fontId="13" fillId="8" borderId="8" applyAlignment="1" pivotButton="0" quotePrefix="0" xfId="0">
      <alignment horizontal="center" vertical="center" wrapText="1"/>
    </xf>
    <xf numFmtId="0" fontId="13" fillId="9" borderId="7" applyAlignment="1" pivotButton="0" quotePrefix="0" xfId="0">
      <alignment horizontal="center" vertical="center" wrapText="1"/>
    </xf>
    <xf numFmtId="0" fontId="13" fillId="9" borderId="9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13" fillId="10" borderId="7" applyAlignment="1" pivotButton="0" quotePrefix="0" xfId="0">
      <alignment horizontal="center" vertical="center" wrapText="1"/>
    </xf>
    <xf numFmtId="0" fontId="13" fillId="10" borderId="9" applyAlignment="1" pivotButton="0" quotePrefix="0" xfId="0">
      <alignment horizontal="center" vertical="center" wrapText="1"/>
    </xf>
    <xf numFmtId="0" fontId="13" fillId="10" borderId="8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0" fontId="13" fillId="11" borderId="8" applyAlignment="1" pivotButton="0" quotePrefix="0" xfId="0">
      <alignment horizontal="center" vertical="center" wrapText="1"/>
    </xf>
    <xf numFmtId="0" fontId="13" fillId="12" borderId="7" applyAlignment="1" pivotButton="0" quotePrefix="0" xfId="0">
      <alignment horizontal="center" vertical="center" wrapText="1"/>
    </xf>
    <xf numFmtId="0" fontId="13" fillId="12" borderId="9" applyAlignment="1" pivotButton="0" quotePrefix="0" xfId="0">
      <alignment horizontal="center" vertical="center" wrapText="1"/>
    </xf>
    <xf numFmtId="0" fontId="13" fillId="12" borderId="8" applyAlignment="1" pivotButton="0" quotePrefix="0" xfId="0">
      <alignment horizontal="center" vertical="center" wrapText="1"/>
    </xf>
    <xf numFmtId="0" fontId="13" fillId="13" borderId="7" applyAlignment="1" pivotButton="0" quotePrefix="0" xfId="0">
      <alignment horizontal="center" vertical="center" wrapText="1"/>
    </xf>
    <xf numFmtId="0" fontId="13" fillId="13" borderId="9" applyAlignment="1" pivotButton="0" quotePrefix="0" xfId="0">
      <alignment horizontal="center" vertical="center" wrapText="1"/>
    </xf>
    <xf numFmtId="0" fontId="13" fillId="13" borderId="8" applyAlignment="1" pivotButton="0" quotePrefix="0" xfId="0">
      <alignment horizontal="center" vertical="center" wrapText="1"/>
    </xf>
    <xf numFmtId="0" fontId="13" fillId="14" borderId="7" applyAlignment="1" pivotButton="0" quotePrefix="0" xfId="0">
      <alignment horizontal="center" vertical="center" wrapText="1"/>
    </xf>
    <xf numFmtId="0" fontId="13" fillId="14" borderId="9" applyAlignment="1" pivotButton="0" quotePrefix="0" xfId="0">
      <alignment horizontal="center" vertical="center" wrapText="1"/>
    </xf>
    <xf numFmtId="0" fontId="13" fillId="14" borderId="8" applyAlignment="1" pivotButton="0" quotePrefix="0" xfId="0">
      <alignment horizontal="center" vertical="center" wrapText="1"/>
    </xf>
    <xf numFmtId="0" fontId="13" fillId="15" borderId="10" applyAlignment="1" pivotButton="0" quotePrefix="0" xfId="0">
      <alignment horizontal="center" vertical="center" wrapText="1"/>
    </xf>
    <xf numFmtId="0" fontId="15" fillId="6" borderId="11" applyAlignment="1" pivotButton="0" quotePrefix="0" xfId="0">
      <alignment horizontal="left" vertical="center"/>
    </xf>
    <xf numFmtId="0" fontId="15" fillId="6" borderId="12" applyAlignment="1" pivotButton="0" quotePrefix="0" xfId="0">
      <alignment horizontal="center" vertical="center"/>
    </xf>
    <xf numFmtId="4" fontId="15" fillId="16" borderId="11" applyAlignment="1" pivotButton="0" quotePrefix="0" xfId="0">
      <alignment horizontal="right" vertical="center"/>
    </xf>
    <xf numFmtId="4" fontId="15" fillId="16" borderId="13" applyAlignment="1" pivotButton="0" quotePrefix="0" xfId="0">
      <alignment horizontal="right" vertical="center"/>
    </xf>
    <xf numFmtId="167" fontId="10" fillId="16" borderId="12" applyAlignment="1" pivotButton="0" quotePrefix="0" xfId="0">
      <alignment horizontal="right" vertical="center"/>
    </xf>
    <xf numFmtId="3" fontId="15" fillId="17" borderId="11" applyAlignment="1" pivotButton="0" quotePrefix="0" xfId="0">
      <alignment horizontal="right" vertical="center"/>
    </xf>
    <xf numFmtId="3" fontId="15" fillId="17" borderId="13" applyAlignment="1" pivotButton="0" quotePrefix="0" xfId="0">
      <alignment horizontal="right" vertical="center"/>
    </xf>
    <xf numFmtId="167" fontId="10" fillId="17" borderId="12" applyAlignment="1" pivotButton="0" quotePrefix="0" xfId="0">
      <alignment horizontal="right" vertical="center"/>
    </xf>
    <xf numFmtId="3" fontId="15" fillId="18" borderId="11" applyAlignment="1" pivotButton="0" quotePrefix="0" xfId="0">
      <alignment horizontal="right" vertical="center"/>
    </xf>
    <xf numFmtId="3" fontId="15" fillId="18" borderId="13" applyAlignment="1" pivotButton="0" quotePrefix="0" xfId="0">
      <alignment horizontal="right" vertical="center"/>
    </xf>
    <xf numFmtId="167" fontId="12" fillId="18" borderId="12" applyAlignment="1" pivotButton="0" quotePrefix="0" xfId="0">
      <alignment horizontal="right" vertical="center"/>
    </xf>
    <xf numFmtId="164" fontId="15" fillId="19" borderId="11" applyAlignment="1" pivotButton="0" quotePrefix="0" xfId="0">
      <alignment horizontal="right" vertical="center"/>
    </xf>
    <xf numFmtId="164" fontId="15" fillId="19" borderId="13" applyAlignment="1" pivotButton="0" quotePrefix="0" xfId="0">
      <alignment horizontal="right" vertical="center"/>
    </xf>
    <xf numFmtId="167" fontId="10" fillId="19" borderId="12" applyAlignment="1" pivotButton="0" quotePrefix="0" xfId="0">
      <alignment horizontal="right" vertical="center"/>
    </xf>
    <xf numFmtId="164" fontId="15" fillId="20" borderId="11" applyAlignment="1" pivotButton="0" quotePrefix="0" xfId="0">
      <alignment horizontal="right" vertical="center"/>
    </xf>
    <xf numFmtId="164" fontId="15" fillId="20" borderId="13" applyAlignment="1" pivotButton="0" quotePrefix="0" xfId="0">
      <alignment horizontal="right" vertical="center"/>
    </xf>
    <xf numFmtId="167" fontId="10" fillId="20" borderId="12" applyAlignment="1" pivotButton="0" quotePrefix="0" xfId="0">
      <alignment horizontal="right" vertical="center"/>
    </xf>
    <xf numFmtId="4" fontId="15" fillId="21" borderId="11" applyAlignment="1" pivotButton="0" quotePrefix="0" xfId="0">
      <alignment horizontal="right" vertical="center"/>
    </xf>
    <xf numFmtId="4" fontId="15" fillId="21" borderId="13" applyAlignment="1" pivotButton="0" quotePrefix="0" xfId="0">
      <alignment horizontal="right" vertical="center"/>
    </xf>
    <xf numFmtId="167" fontId="12" fillId="21" borderId="12" applyAlignment="1" pivotButton="0" quotePrefix="0" xfId="0">
      <alignment horizontal="right" vertical="center"/>
    </xf>
    <xf numFmtId="4" fontId="15" fillId="22" borderId="11" applyAlignment="1" pivotButton="0" quotePrefix="0" xfId="0">
      <alignment horizontal="right" vertical="center"/>
    </xf>
    <xf numFmtId="4" fontId="15" fillId="22" borderId="13" applyAlignment="1" pivotButton="0" quotePrefix="0" xfId="0">
      <alignment horizontal="right" vertical="center"/>
    </xf>
    <xf numFmtId="167" fontId="10" fillId="22" borderId="12" applyAlignment="1" pivotButton="0" quotePrefix="0" xfId="0">
      <alignment horizontal="right" vertical="center"/>
    </xf>
    <xf numFmtId="4" fontId="15" fillId="23" borderId="11" applyAlignment="1" pivotButton="0" quotePrefix="0" xfId="0">
      <alignment horizontal="right" vertical="center"/>
    </xf>
    <xf numFmtId="4" fontId="15" fillId="23" borderId="13" applyAlignment="1" pivotButton="0" quotePrefix="0" xfId="0">
      <alignment horizontal="right" vertical="center"/>
    </xf>
    <xf numFmtId="167" fontId="10" fillId="23" borderId="12" applyAlignment="1" pivotButton="0" quotePrefix="0" xfId="0">
      <alignment horizontal="right" vertical="center"/>
    </xf>
    <xf numFmtId="167" fontId="12" fillId="24" borderId="14" applyAlignment="1" pivotButton="0" quotePrefix="0" xfId="0">
      <alignment horizontal="right" vertical="center"/>
    </xf>
    <xf numFmtId="0" fontId="15" fillId="25" borderId="11" applyAlignment="1" pivotButton="0" quotePrefix="0" xfId="0">
      <alignment horizontal="left" vertical="center"/>
    </xf>
    <xf numFmtId="0" fontId="15" fillId="25" borderId="12" applyAlignment="1" pivotButton="0" quotePrefix="0" xfId="0">
      <alignment horizontal="center" vertical="center"/>
    </xf>
    <xf numFmtId="4" fontId="15" fillId="26" borderId="11" applyAlignment="1" pivotButton="0" quotePrefix="0" xfId="0">
      <alignment horizontal="right" vertical="center"/>
    </xf>
    <xf numFmtId="4" fontId="15" fillId="26" borderId="13" applyAlignment="1" pivotButton="0" quotePrefix="0" xfId="0">
      <alignment horizontal="right" vertical="center"/>
    </xf>
    <xf numFmtId="167" fontId="10" fillId="26" borderId="12" applyAlignment="1" pivotButton="0" quotePrefix="0" xfId="0">
      <alignment horizontal="right" vertical="center"/>
    </xf>
    <xf numFmtId="3" fontId="15" fillId="27" borderId="11" applyAlignment="1" pivotButton="0" quotePrefix="0" xfId="0">
      <alignment horizontal="right" vertical="center"/>
    </xf>
    <xf numFmtId="3" fontId="15" fillId="27" borderId="13" applyAlignment="1" pivotButton="0" quotePrefix="0" xfId="0">
      <alignment horizontal="right" vertical="center"/>
    </xf>
    <xf numFmtId="167" fontId="10" fillId="27" borderId="12" applyAlignment="1" pivotButton="0" quotePrefix="0" xfId="0">
      <alignment horizontal="right" vertical="center"/>
    </xf>
    <xf numFmtId="3" fontId="15" fillId="28" borderId="11" applyAlignment="1" pivotButton="0" quotePrefix="0" xfId="0">
      <alignment horizontal="right" vertical="center"/>
    </xf>
    <xf numFmtId="3" fontId="15" fillId="28" borderId="13" applyAlignment="1" pivotButton="0" quotePrefix="0" xfId="0">
      <alignment horizontal="right" vertical="center"/>
    </xf>
    <xf numFmtId="167" fontId="10" fillId="28" borderId="12" applyAlignment="1" pivotButton="0" quotePrefix="0" xfId="0">
      <alignment horizontal="right" vertical="center"/>
    </xf>
    <xf numFmtId="164" fontId="15" fillId="29" borderId="11" applyAlignment="1" pivotButton="0" quotePrefix="0" xfId="0">
      <alignment horizontal="right" vertical="center"/>
    </xf>
    <xf numFmtId="164" fontId="15" fillId="29" borderId="13" applyAlignment="1" pivotButton="0" quotePrefix="0" xfId="0">
      <alignment horizontal="right" vertical="center"/>
    </xf>
    <xf numFmtId="167" fontId="10" fillId="29" borderId="12" applyAlignment="1" pivotButton="0" quotePrefix="0" xfId="0">
      <alignment horizontal="right" vertical="center"/>
    </xf>
    <xf numFmtId="164" fontId="15" fillId="30" borderId="11" applyAlignment="1" pivotButton="0" quotePrefix="0" xfId="0">
      <alignment horizontal="right" vertical="center"/>
    </xf>
    <xf numFmtId="164" fontId="15" fillId="30" borderId="13" applyAlignment="1" pivotButton="0" quotePrefix="0" xfId="0">
      <alignment horizontal="right" vertical="center"/>
    </xf>
    <xf numFmtId="167" fontId="10" fillId="30" borderId="12" applyAlignment="1" pivotButton="0" quotePrefix="0" xfId="0">
      <alignment horizontal="right" vertical="center"/>
    </xf>
    <xf numFmtId="4" fontId="15" fillId="31" borderId="11" applyAlignment="1" pivotButton="0" quotePrefix="0" xfId="0">
      <alignment horizontal="right" vertical="center"/>
    </xf>
    <xf numFmtId="4" fontId="15" fillId="31" borderId="13" applyAlignment="1" pivotButton="0" quotePrefix="0" xfId="0">
      <alignment horizontal="right" vertical="center"/>
    </xf>
    <xf numFmtId="167" fontId="10" fillId="31" borderId="12" applyAlignment="1" pivotButton="0" quotePrefix="0" xfId="0">
      <alignment horizontal="right" vertical="center"/>
    </xf>
    <xf numFmtId="4" fontId="15" fillId="32" borderId="11" applyAlignment="1" pivotButton="0" quotePrefix="0" xfId="0">
      <alignment horizontal="right" vertical="center"/>
    </xf>
    <xf numFmtId="4" fontId="15" fillId="32" borderId="13" applyAlignment="1" pivotButton="0" quotePrefix="0" xfId="0">
      <alignment horizontal="right" vertical="center"/>
    </xf>
    <xf numFmtId="167" fontId="10" fillId="32" borderId="12" applyAlignment="1" pivotButton="0" quotePrefix="0" xfId="0">
      <alignment horizontal="right" vertical="center"/>
    </xf>
    <xf numFmtId="4" fontId="15" fillId="33" borderId="11" applyAlignment="1" pivotButton="0" quotePrefix="0" xfId="0">
      <alignment horizontal="right" vertical="center"/>
    </xf>
    <xf numFmtId="4" fontId="15" fillId="33" borderId="13" applyAlignment="1" pivotButton="0" quotePrefix="0" xfId="0">
      <alignment horizontal="right" vertical="center"/>
    </xf>
    <xf numFmtId="167" fontId="12" fillId="33" borderId="12" applyAlignment="1" pivotButton="0" quotePrefix="0" xfId="0">
      <alignment horizontal="right" vertical="center"/>
    </xf>
    <xf numFmtId="167" fontId="10" fillId="34" borderId="14" applyAlignment="1" pivotButton="0" quotePrefix="0" xfId="0">
      <alignment horizontal="right" vertical="center"/>
    </xf>
    <xf numFmtId="167" fontId="10" fillId="21" borderId="12" applyAlignment="1" pivotButton="0" quotePrefix="0" xfId="0">
      <alignment horizontal="right" vertical="center"/>
    </xf>
    <xf numFmtId="167" fontId="10" fillId="24" borderId="14" applyAlignment="1" pivotButton="0" quotePrefix="0" xfId="0">
      <alignment horizontal="right" vertical="center"/>
    </xf>
    <xf numFmtId="167" fontId="12" fillId="26" borderId="12" applyAlignment="1" pivotButton="0" quotePrefix="0" xfId="0">
      <alignment horizontal="right" vertical="center"/>
    </xf>
    <xf numFmtId="167" fontId="12" fillId="27" borderId="12" applyAlignment="1" pivotButton="0" quotePrefix="0" xfId="0">
      <alignment horizontal="right" vertical="center"/>
    </xf>
    <xf numFmtId="167" fontId="12" fillId="29" borderId="12" applyAlignment="1" pivotButton="0" quotePrefix="0" xfId="0">
      <alignment horizontal="right" vertical="center"/>
    </xf>
    <xf numFmtId="167" fontId="12" fillId="30" borderId="12" applyAlignment="1" pivotButton="0" quotePrefix="0" xfId="0">
      <alignment horizontal="right" vertical="center"/>
    </xf>
    <xf numFmtId="167" fontId="12" fillId="31" borderId="12" applyAlignment="1" pivotButton="0" quotePrefix="0" xfId="0">
      <alignment horizontal="right" vertical="center"/>
    </xf>
    <xf numFmtId="167" fontId="12" fillId="32" borderId="12" applyAlignment="1" pivotButton="0" quotePrefix="0" xfId="0">
      <alignment horizontal="right" vertical="center"/>
    </xf>
    <xf numFmtId="167" fontId="12" fillId="34" borderId="14" applyAlignment="1" pivotButton="0" quotePrefix="0" xfId="0">
      <alignment horizontal="right" vertical="center"/>
    </xf>
    <xf numFmtId="167" fontId="12" fillId="16" borderId="12" applyAlignment="1" pivotButton="0" quotePrefix="0" xfId="0">
      <alignment horizontal="right" vertical="center"/>
    </xf>
    <xf numFmtId="167" fontId="12" fillId="17" borderId="12" applyAlignment="1" pivotButton="0" quotePrefix="0" xfId="0">
      <alignment horizontal="right" vertical="center"/>
    </xf>
    <xf numFmtId="167" fontId="12" fillId="19" borderId="12" applyAlignment="1" pivotButton="0" quotePrefix="0" xfId="0">
      <alignment horizontal="right" vertical="center"/>
    </xf>
    <xf numFmtId="167" fontId="12" fillId="20" borderId="12" applyAlignment="1" pivotButton="0" quotePrefix="0" xfId="0">
      <alignment horizontal="right" vertical="center"/>
    </xf>
    <xf numFmtId="167" fontId="12" fillId="22" borderId="12" applyAlignment="1" pivotButton="0" quotePrefix="0" xfId="0">
      <alignment horizontal="right" vertical="center"/>
    </xf>
    <xf numFmtId="167" fontId="15" fillId="31" borderId="12" applyAlignment="1" pivotButton="0" quotePrefix="0" xfId="0">
      <alignment horizontal="right" vertical="center"/>
    </xf>
    <xf numFmtId="167" fontId="12" fillId="28" borderId="12" applyAlignment="1" pivotButton="0" quotePrefix="0" xfId="0">
      <alignment horizontal="right" vertical="center"/>
    </xf>
    <xf numFmtId="167" fontId="10" fillId="33" borderId="12" applyAlignment="1" pivotButton="0" quotePrefix="0" xfId="0">
      <alignment horizontal="right" vertical="center"/>
    </xf>
    <xf numFmtId="167" fontId="10" fillId="18" borderId="12" applyAlignment="1" pivotButton="0" quotePrefix="0" xfId="0">
      <alignment horizontal="right" vertical="center"/>
    </xf>
    <xf numFmtId="167" fontId="12" fillId="23" borderId="12" applyAlignment="1" pivotButton="0" quotePrefix="0" xfId="0">
      <alignment horizontal="right" vertical="center"/>
    </xf>
    <xf numFmtId="167" fontId="15" fillId="16" borderId="12" applyAlignment="1" pivotButton="0" quotePrefix="0" xfId="0">
      <alignment horizontal="right" vertical="center"/>
    </xf>
    <xf numFmtId="167" fontId="15" fillId="17" borderId="12" applyAlignment="1" pivotButton="0" quotePrefix="0" xfId="0">
      <alignment horizontal="right" vertical="center"/>
    </xf>
    <xf numFmtId="0" fontId="8" fillId="2" borderId="15" applyAlignment="1" pivotButton="0" quotePrefix="0" xfId="0">
      <alignment horizontal="left" vertical="center"/>
    </xf>
    <xf numFmtId="0" fontId="8" fillId="2" borderId="16" applyAlignment="1" pivotButton="0" quotePrefix="0" xfId="0">
      <alignment horizontal="right" vertical="center"/>
    </xf>
    <xf numFmtId="4" fontId="8" fillId="2" borderId="15" applyAlignment="1" pivotButton="0" quotePrefix="0" xfId="0">
      <alignment horizontal="right" vertical="center"/>
    </xf>
    <xf numFmtId="4" fontId="8" fillId="2" borderId="17" applyAlignment="1" pivotButton="0" quotePrefix="0" xfId="0">
      <alignment horizontal="right" vertical="center"/>
    </xf>
    <xf numFmtId="167" fontId="8" fillId="2" borderId="16" applyAlignment="1" pivotButton="0" quotePrefix="0" xfId="0">
      <alignment horizontal="right" vertical="center"/>
    </xf>
    <xf numFmtId="3" fontId="8" fillId="2" borderId="15" applyAlignment="1" pivotButton="0" quotePrefix="0" xfId="0">
      <alignment horizontal="right" vertical="center"/>
    </xf>
    <xf numFmtId="3" fontId="8" fillId="2" borderId="17" applyAlignment="1" pivotButton="0" quotePrefix="0" xfId="0">
      <alignment horizontal="right" vertical="center"/>
    </xf>
    <xf numFmtId="164" fontId="8" fillId="2" borderId="15" applyAlignment="1" pivotButton="0" quotePrefix="0" xfId="0">
      <alignment horizontal="right" vertical="center"/>
    </xf>
    <xf numFmtId="164" fontId="8" fillId="2" borderId="17" applyAlignment="1" pivotButton="0" quotePrefix="0" xfId="0">
      <alignment horizontal="right" vertical="center"/>
    </xf>
    <xf numFmtId="0" fontId="8" fillId="2" borderId="1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0" customWidth="1" min="4" max="4"/>
    <col width="11" customWidth="1" min="5" max="5"/>
    <col width="12" customWidth="1" min="6" max="6"/>
    <col width="12" customWidth="1" min="7" max="7"/>
    <col width="10" customWidth="1" min="8" max="8"/>
    <col width="10" customWidth="1" min="9" max="9"/>
    <col width="14" customWidth="1" min="10" max="10"/>
    <col width="12" customWidth="1" min="11" max="11"/>
    <col width="14" customWidth="1" min="12" max="12"/>
    <col width="10" customWidth="1" min="13" max="13"/>
  </cols>
  <sheetData>
    <row r="1" ht="10" customHeight="1"/>
    <row r="2" ht="40" customHeight="1">
      <c r="A2" s="1" t="inlineStr">
        <is>
          <t>NORSE TRADESMAN  ·  Amazon USA  ·  Parent Product Report</t>
        </is>
      </c>
    </row>
    <row r="3" ht="22" customHeight="1">
      <c r="A3" s="2" t="inlineStr">
        <is>
          <t>Week: Mar 02 – Mar 08, 2026   |   Currency: USD   |   Prepared by Capybaras®</t>
        </is>
      </c>
    </row>
    <row r="4" ht="14" customHeight="1">
      <c r="A4" s="3" t="n"/>
    </row>
    <row r="5" ht="8" customHeight="1"/>
    <row r="6" ht="30" customHeight="1">
      <c r="A6" s="4" t="inlineStr">
        <is>
          <t>Total Sales</t>
        </is>
      </c>
      <c r="C6" s="4" t="inlineStr">
        <is>
          <t>Units Sold</t>
        </is>
      </c>
      <c r="E6" s="4" t="inlineStr">
        <is>
          <t>Ad Spend</t>
        </is>
      </c>
      <c r="G6" s="4" t="inlineStr">
        <is>
          <t>Ad Sales</t>
        </is>
      </c>
      <c r="I6" s="4" t="inlineStr">
        <is>
          <t>Total Profit</t>
        </is>
      </c>
    </row>
    <row r="7" ht="20" customHeight="1">
      <c r="A7" s="5" t="inlineStr">
        <is>
          <t>$10,117.79</t>
        </is>
      </c>
      <c r="C7" s="5" t="inlineStr">
        <is>
          <t>217</t>
        </is>
      </c>
      <c r="E7" s="5" t="inlineStr">
        <is>
          <t>$1,463.46</t>
        </is>
      </c>
      <c r="G7" s="5" t="inlineStr">
        <is>
          <t>$2,683.68</t>
        </is>
      </c>
      <c r="I7" s="5" t="inlineStr">
        <is>
          <t>$5,194.21</t>
        </is>
      </c>
    </row>
    <row r="8" ht="14" customHeight="1">
      <c r="A8" s="6" t="inlineStr">
        <is>
          <t>vs prior: -9.5%</t>
        </is>
      </c>
      <c r="C8" s="6" t="inlineStr">
        <is>
          <t>vs prior: -3.6%</t>
        </is>
      </c>
      <c r="E8" s="7" t="inlineStr">
        <is>
          <t>vs prior: +6.9%</t>
        </is>
      </c>
      <c r="G8" s="7" t="inlineStr">
        <is>
          <t>vs prior: +15.5%</t>
        </is>
      </c>
      <c r="I8" s="6" t="inlineStr">
        <is>
          <t>vs prior: -15.8%</t>
        </is>
      </c>
    </row>
    <row r="9" ht="8" customHeight="1"/>
    <row r="10" ht="8" customHeight="1"/>
    <row r="11" ht="28" customHeight="1">
      <c r="A11" s="8" t="inlineStr">
        <is>
          <t>PRODUCT PERFORMANCE  —  All 19 Products  (sorted by Total Sales ↓)</t>
        </is>
      </c>
    </row>
    <row r="12" ht="32" customHeight="1">
      <c r="A12" s="9" t="inlineStr">
        <is>
          <t>Product</t>
        </is>
      </c>
      <c r="B12" s="9" t="inlineStr">
        <is>
          <t>ASIN</t>
        </is>
      </c>
      <c r="C12" s="9" t="inlineStr">
        <is>
          <t>Total Sales ($)</t>
        </is>
      </c>
      <c r="D12" s="9" t="inlineStr">
        <is>
          <t>Units Sold</t>
        </is>
      </c>
      <c r="E12" s="9" t="inlineStr">
        <is>
          <t>Avg Price ($)</t>
        </is>
      </c>
      <c r="F12" s="9" t="inlineStr">
        <is>
          <t>Ad Spend ($)</t>
        </is>
      </c>
      <c r="G12" s="9" t="inlineStr">
        <is>
          <t>Ad Sales ($)</t>
        </is>
      </c>
      <c r="H12" s="9" t="inlineStr">
        <is>
          <t>ACoS (%)</t>
        </is>
      </c>
      <c r="I12" s="9" t="inlineStr">
        <is>
          <t>TACoS (%)</t>
        </is>
      </c>
      <c r="J12" s="9" t="inlineStr">
        <is>
          <t>Organic Sales %</t>
        </is>
      </c>
      <c r="K12" s="9" t="inlineStr">
        <is>
          <t>Profit ($)</t>
        </is>
      </c>
      <c r="L12" s="9" t="inlineStr">
        <is>
          <t>Profit Margin %</t>
        </is>
      </c>
      <c r="M12" s="9" t="inlineStr">
        <is>
          <t>Inventory</t>
        </is>
      </c>
    </row>
    <row r="13" ht="18" customHeight="1">
      <c r="A13" s="10" t="inlineStr">
        <is>
          <t>Norse Tradesman Horn Tankard</t>
        </is>
      </c>
      <c r="B13" s="32" t="inlineStr">
        <is>
          <t>B0CSGXT2X2</t>
        </is>
      </c>
      <c r="C13" s="35" t="n">
        <v>4083.95</v>
      </c>
      <c r="D13" s="13" t="n">
        <v>85</v>
      </c>
      <c r="E13" s="35" t="n">
        <v>48.05</v>
      </c>
      <c r="F13" s="35" t="n">
        <v>524.01</v>
      </c>
      <c r="G13" s="35" t="n">
        <v>570.1799999999999</v>
      </c>
      <c r="H13" s="34" t="n">
        <v>91.90000000000001</v>
      </c>
      <c r="I13" s="34" t="n">
        <v>12.83</v>
      </c>
      <c r="J13" s="34" t="n">
        <v>86.04000000000001</v>
      </c>
      <c r="K13" s="15" t="n">
        <v>2335.42</v>
      </c>
      <c r="L13" s="34" t="n">
        <v>50.77</v>
      </c>
      <c r="M13" s="13" t="n">
        <v>1859</v>
      </c>
    </row>
    <row r="14" ht="18" customHeight="1">
      <c r="A14" s="16" t="inlineStr">
        <is>
          <t>Norse Tradesman Viking Blow Horn - Deep Sound - Polishe…</t>
        </is>
      </c>
      <c r="B14" s="37" t="inlineStr">
        <is>
          <t>B0CGXQ2HRK</t>
        </is>
      </c>
      <c r="C14" s="40" t="n">
        <v>2064.71</v>
      </c>
      <c r="D14" s="19" t="n">
        <v>33</v>
      </c>
      <c r="E14" s="40" t="n">
        <v>62.57</v>
      </c>
      <c r="F14" s="40" t="n">
        <v>225.79</v>
      </c>
      <c r="G14" s="40" t="n">
        <v>656.5700000000001</v>
      </c>
      <c r="H14" s="39" t="n">
        <v>34.39</v>
      </c>
      <c r="I14" s="39" t="n">
        <v>10.94</v>
      </c>
      <c r="J14" s="39" t="n">
        <v>68.2</v>
      </c>
      <c r="K14" s="21" t="n">
        <v>1399.71</v>
      </c>
      <c r="L14" s="39" t="n">
        <v>55.2</v>
      </c>
      <c r="M14" s="19" t="n">
        <v>795</v>
      </c>
    </row>
    <row r="15" ht="18" customHeight="1">
      <c r="A15" s="10" t="inlineStr">
        <is>
          <t>Norse Tradesman Handcrafted Ox-Horn Viking Drinking Hor…</t>
        </is>
      </c>
      <c r="B15" s="32" t="inlineStr">
        <is>
          <t>B0FVGC9Z8F</t>
        </is>
      </c>
      <c r="C15" s="35" t="n">
        <v>1092.88</v>
      </c>
      <c r="D15" s="13" t="n">
        <v>24</v>
      </c>
      <c r="E15" s="35" t="n">
        <v>45.54</v>
      </c>
      <c r="F15" s="35" t="n">
        <v>270.57</v>
      </c>
      <c r="G15" s="35" t="n">
        <v>328.96</v>
      </c>
      <c r="H15" s="34" t="n">
        <v>82.25</v>
      </c>
      <c r="I15" s="34" t="n">
        <v>24.76</v>
      </c>
      <c r="J15" s="34" t="n">
        <v>69.90000000000001</v>
      </c>
      <c r="K15" s="15" t="n">
        <v>524.7</v>
      </c>
      <c r="L15" s="34" t="n">
        <v>36.51</v>
      </c>
      <c r="M15" s="13" t="n">
        <v>558</v>
      </c>
    </row>
    <row r="16" ht="18" customHeight="1">
      <c r="A16" s="16" t="inlineStr">
        <is>
          <t>Norse Tradesman Spring Steel Viking Sword</t>
        </is>
      </c>
      <c r="B16" s="37" t="inlineStr">
        <is>
          <t>B0CR4JJ9W8</t>
        </is>
      </c>
      <c r="C16" s="40" t="n">
        <v>539.61</v>
      </c>
      <c r="D16" s="19" t="n">
        <v>3</v>
      </c>
      <c r="E16" s="40" t="n">
        <v>179.87</v>
      </c>
      <c r="F16" s="40" t="n">
        <v>56.69</v>
      </c>
      <c r="G16" s="40" t="n">
        <v>179.87</v>
      </c>
      <c r="H16" s="39" t="n">
        <v>31.52</v>
      </c>
      <c r="I16" s="39" t="n">
        <v>10.51</v>
      </c>
      <c r="J16" s="39" t="n">
        <v>66.67</v>
      </c>
      <c r="K16" s="21" t="n">
        <v>346.72</v>
      </c>
      <c r="L16" s="39" t="n">
        <v>64.25</v>
      </c>
      <c r="M16" s="19" t="n">
        <v>92</v>
      </c>
    </row>
    <row r="17" ht="18" customHeight="1">
      <c r="A17" s="10" t="inlineStr">
        <is>
          <t>Norse Tradesman Genuine Shot Glass Set</t>
        </is>
      </c>
      <c r="B17" s="32" t="inlineStr">
        <is>
          <t>B09861G7NW</t>
        </is>
      </c>
      <c r="C17" s="35" t="n">
        <v>522.96</v>
      </c>
      <c r="D17" s="13" t="n">
        <v>8</v>
      </c>
      <c r="E17" s="35" t="n">
        <v>65.37</v>
      </c>
      <c r="F17" s="35" t="n">
        <v>79.75</v>
      </c>
      <c r="G17" s="35" t="n">
        <v>412.35</v>
      </c>
      <c r="H17" s="34" t="n">
        <v>19.34</v>
      </c>
      <c r="I17" s="34" t="n">
        <v>15.25</v>
      </c>
      <c r="J17" s="34" t="n">
        <v>21.15</v>
      </c>
      <c r="K17" s="15" t="n">
        <v>59.48</v>
      </c>
      <c r="L17" s="34" t="n">
        <v>29.69</v>
      </c>
      <c r="M17" s="13" t="n">
        <v>291</v>
      </c>
    </row>
    <row r="18" ht="18" customHeight="1">
      <c r="A18" s="16" t="inlineStr">
        <is>
          <t>Norse Tradesman Viking Axe Carbon Steel Axe Head &amp; Teak…</t>
        </is>
      </c>
      <c r="B18" s="37" t="inlineStr">
        <is>
          <t>B0CKCGNNKK</t>
        </is>
      </c>
      <c r="C18" s="40" t="n">
        <v>419.61</v>
      </c>
      <c r="D18" s="19" t="n">
        <v>3</v>
      </c>
      <c r="E18" s="40" t="n">
        <v>139.87</v>
      </c>
      <c r="F18" s="40" t="n">
        <v>39.93</v>
      </c>
      <c r="G18" s="40" t="n">
        <v>0</v>
      </c>
      <c r="H18" s="39" t="n">
        <v>0</v>
      </c>
      <c r="I18" s="39" t="n">
        <v>9.52</v>
      </c>
      <c r="J18" s="39" t="n"/>
      <c r="K18" s="21" t="n">
        <v>70.27</v>
      </c>
      <c r="L18" s="39" t="n">
        <v>47.85</v>
      </c>
      <c r="M18" s="19" t="n">
        <v>177</v>
      </c>
    </row>
    <row r="19" ht="18" customHeight="1">
      <c r="A19" s="10" t="inlineStr">
        <is>
          <t>Handmade Genuine Leather Axe Holster with Belt Loop - f…</t>
        </is>
      </c>
      <c r="B19" s="32" t="inlineStr">
        <is>
          <t>B07Y42JX83</t>
        </is>
      </c>
      <c r="C19" s="35" t="n">
        <v>238.44</v>
      </c>
      <c r="D19" s="13" t="n">
        <v>12</v>
      </c>
      <c r="E19" s="35" t="n">
        <v>19.87</v>
      </c>
      <c r="F19" s="35" t="n">
        <v>33.75</v>
      </c>
      <c r="G19" s="35" t="n">
        <v>79.48</v>
      </c>
      <c r="H19" s="34" t="n">
        <v>42.46</v>
      </c>
      <c r="I19" s="34" t="n">
        <v>14.15</v>
      </c>
      <c r="J19" s="34" t="n">
        <v>66.67</v>
      </c>
      <c r="K19" s="15" t="n">
        <v>108.53</v>
      </c>
      <c r="L19" s="34" t="n">
        <v>44.86</v>
      </c>
      <c r="M19" s="13" t="n">
        <v>134</v>
      </c>
    </row>
    <row r="20" ht="18" customHeight="1">
      <c r="A20" s="16" t="inlineStr">
        <is>
          <t>Norse Tradesman Wooden Tankard</t>
        </is>
      </c>
      <c r="B20" s="37" t="inlineStr">
        <is>
          <t>B08P4GYJX7</t>
        </is>
      </c>
      <c r="C20" s="40" t="n">
        <v>188.61</v>
      </c>
      <c r="D20" s="19" t="n">
        <v>3</v>
      </c>
      <c r="E20" s="40" t="n">
        <v>62.87</v>
      </c>
      <c r="F20" s="40" t="n">
        <v>21.56</v>
      </c>
      <c r="G20" s="40" t="n">
        <v>122.74</v>
      </c>
      <c r="H20" s="39" t="n">
        <v>17.57</v>
      </c>
      <c r="I20" s="39" t="n">
        <v>11.43</v>
      </c>
      <c r="J20" s="39" t="n">
        <v>34.92</v>
      </c>
      <c r="K20" s="21" t="n">
        <v>70.22</v>
      </c>
      <c r="L20" s="39" t="n">
        <v>55.85</v>
      </c>
      <c r="M20" s="19" t="n">
        <v>40</v>
      </c>
    </row>
    <row r="21" ht="18" customHeight="1">
      <c r="A21" s="10" t="inlineStr">
        <is>
          <t>Premium Leather Drinking Horn Belt Holster - Adjustable…</t>
        </is>
      </c>
      <c r="B21" s="32" t="inlineStr">
        <is>
          <t>B07Y41KPJV</t>
        </is>
      </c>
      <c r="C21" s="35" t="n">
        <v>151.83</v>
      </c>
      <c r="D21" s="13" t="n">
        <v>9</v>
      </c>
      <c r="E21" s="35" t="n">
        <v>16.87</v>
      </c>
      <c r="F21" s="35" t="n">
        <v>10.36</v>
      </c>
      <c r="G21" s="35" t="n">
        <v>50.61</v>
      </c>
      <c r="H21" s="34" t="n">
        <v>20.47</v>
      </c>
      <c r="I21" s="34" t="n">
        <v>6.82</v>
      </c>
      <c r="J21" s="34" t="n">
        <v>66.67</v>
      </c>
      <c r="K21" s="15" t="n">
        <v>54.92</v>
      </c>
      <c r="L21" s="34" t="n">
        <v>54.26</v>
      </c>
      <c r="M21" s="13" t="n">
        <v>77</v>
      </c>
    </row>
    <row r="22" ht="18" customHeight="1">
      <c r="A22" s="16" t="inlineStr">
        <is>
          <t>Norse Tradesman Viking Bone Pendant - Hard-Carved Norse…</t>
        </is>
      </c>
      <c r="B22" s="37" t="inlineStr">
        <is>
          <t>B07V9V6L6K</t>
        </is>
      </c>
      <c r="C22" s="40" t="n">
        <v>139.09</v>
      </c>
      <c r="D22" s="19" t="n">
        <v>7</v>
      </c>
      <c r="E22" s="40" t="n">
        <v>19.87</v>
      </c>
      <c r="F22" s="40" t="n">
        <v>40.37</v>
      </c>
      <c r="G22" s="40" t="n">
        <v>99.34999999999999</v>
      </c>
      <c r="H22" s="39" t="n">
        <v>40.63</v>
      </c>
      <c r="I22" s="39" t="n">
        <v>29.02</v>
      </c>
      <c r="J22" s="39" t="n">
        <v>28.57</v>
      </c>
      <c r="K22" s="21" t="n">
        <v>16.03</v>
      </c>
      <c r="L22" s="39" t="n">
        <v>12.84</v>
      </c>
      <c r="M22" s="19" t="n">
        <v>56</v>
      </c>
    </row>
    <row r="23" ht="18" customHeight="1">
      <c r="A23" s="10" t="inlineStr">
        <is>
          <t>Norse Tradesman Authentic Viking Bone Comb for Beard an…</t>
        </is>
      </c>
      <c r="B23" s="32" t="inlineStr">
        <is>
          <t>B07RV2L1S3</t>
        </is>
      </c>
      <c r="C23" s="35" t="n">
        <v>131.48</v>
      </c>
      <c r="D23" s="13" t="n">
        <v>4</v>
      </c>
      <c r="E23" s="35" t="n">
        <v>32.87</v>
      </c>
      <c r="F23" s="35" t="n">
        <v>14.72</v>
      </c>
      <c r="G23" s="35" t="n">
        <v>32.87</v>
      </c>
      <c r="H23" s="34" t="n">
        <v>44.78</v>
      </c>
      <c r="I23" s="34" t="n">
        <v>11.2</v>
      </c>
      <c r="J23" s="34" t="n">
        <v>75</v>
      </c>
      <c r="K23" s="15" t="n">
        <v>75.52</v>
      </c>
      <c r="L23" s="34" t="n">
        <v>45.95</v>
      </c>
      <c r="M23" s="13" t="n">
        <v>38</v>
      </c>
    </row>
    <row r="24" ht="18" customHeight="1">
      <c r="A24" s="16" t="inlineStr">
        <is>
          <t>Viking Rune Beard Bead Coil Set (8-Pack) - Norse Rings …</t>
        </is>
      </c>
      <c r="B24" s="37" t="inlineStr">
        <is>
          <t>B07D6R1WZH</t>
        </is>
      </c>
      <c r="C24" s="40" t="n">
        <v>118.96</v>
      </c>
      <c r="D24" s="19" t="n">
        <v>8</v>
      </c>
      <c r="E24" s="40" t="n">
        <v>14.87</v>
      </c>
      <c r="F24" s="40" t="n">
        <v>30.62</v>
      </c>
      <c r="G24" s="40" t="n">
        <v>74.34999999999999</v>
      </c>
      <c r="H24" s="39" t="n">
        <v>41.18</v>
      </c>
      <c r="I24" s="39" t="n">
        <v>25.74</v>
      </c>
      <c r="J24" s="39" t="n">
        <v>37.5</v>
      </c>
      <c r="K24" s="21" t="n">
        <v>27.95</v>
      </c>
      <c r="L24" s="39" t="n">
        <v>19.89</v>
      </c>
      <c r="M24" s="19" t="n">
        <v>143</v>
      </c>
    </row>
    <row r="25" ht="18" customHeight="1">
      <c r="A25" s="10" t="inlineStr">
        <is>
          <t>Handcarved Wooden Kuksa Cup - Scandinavian Bushcraft Bo…</t>
        </is>
      </c>
      <c r="B25" s="32" t="inlineStr">
        <is>
          <t>B0979HSDTT</t>
        </is>
      </c>
      <c r="C25" s="35" t="n">
        <v>110.61</v>
      </c>
      <c r="D25" s="13" t="n">
        <v>3</v>
      </c>
      <c r="E25" s="35" t="n">
        <v>36.87</v>
      </c>
      <c r="F25" s="35" t="n">
        <v>11.27</v>
      </c>
      <c r="G25" s="35" t="n">
        <v>0</v>
      </c>
      <c r="H25" s="34" t="n">
        <v>0</v>
      </c>
      <c r="I25" s="34" t="n">
        <v>10.19</v>
      </c>
      <c r="J25" s="34" t="n"/>
      <c r="K25" s="15" t="n">
        <v>62.9</v>
      </c>
      <c r="L25" s="34" t="n">
        <v>52.16</v>
      </c>
      <c r="M25" s="13" t="n">
        <v>52</v>
      </c>
    </row>
    <row r="26" ht="18" customHeight="1">
      <c r="A26" s="16" t="inlineStr">
        <is>
          <t>Norse Tradesman Wolf Beard Bead Coils (8-Pack) - Viking…</t>
        </is>
      </c>
      <c r="B26" s="37" t="inlineStr">
        <is>
          <t>B07RQ6QQ5V</t>
        </is>
      </c>
      <c r="C26" s="40" t="n">
        <v>74.34999999999999</v>
      </c>
      <c r="D26" s="19" t="n">
        <v>5</v>
      </c>
      <c r="E26" s="40" t="n">
        <v>14.87</v>
      </c>
      <c r="F26" s="40" t="n">
        <v>31.99</v>
      </c>
      <c r="G26" s="40" t="n">
        <v>44.61</v>
      </c>
      <c r="H26" s="39" t="n">
        <v>71.70999999999999</v>
      </c>
      <c r="I26" s="39" t="n">
        <v>43.03</v>
      </c>
      <c r="J26" s="39" t="n">
        <v>40</v>
      </c>
      <c r="K26" s="22" t="n">
        <v>-3.5</v>
      </c>
      <c r="L26" s="39" t="n">
        <v>-4.57</v>
      </c>
      <c r="M26" s="19" t="n">
        <v>71</v>
      </c>
    </row>
    <row r="27" ht="18" customHeight="1">
      <c r="A27" s="10" t="inlineStr">
        <is>
          <t>Norse Tradesman Viking Bracelet - Semi-Adjustable Bangl…</t>
        </is>
      </c>
      <c r="B27" s="32" t="inlineStr">
        <is>
          <t>B0CRZGVTCT</t>
        </is>
      </c>
      <c r="C27" s="35" t="n">
        <v>59.48</v>
      </c>
      <c r="D27" s="13" t="n">
        <v>4</v>
      </c>
      <c r="E27" s="35" t="n">
        <v>14.87</v>
      </c>
      <c r="F27" s="35" t="n">
        <v>0.98</v>
      </c>
      <c r="G27" s="35" t="n">
        <v>0</v>
      </c>
      <c r="H27" s="34" t="n">
        <v>0</v>
      </c>
      <c r="I27" s="34" t="n">
        <v>1.65</v>
      </c>
      <c r="J27" s="34" t="n"/>
      <c r="K27" s="15" t="n">
        <v>41.42</v>
      </c>
      <c r="L27" s="34" t="n">
        <v>55.63</v>
      </c>
      <c r="M27" s="13" t="n">
        <v>40</v>
      </c>
    </row>
    <row r="28" ht="18" customHeight="1">
      <c r="A28" s="16" t="inlineStr">
        <is>
          <t>Norse Tradesman Handcrafted Wooden Drinking Horn Stand …</t>
        </is>
      </c>
      <c r="B28" s="37" t="inlineStr">
        <is>
          <t>B07X49ZD57</t>
        </is>
      </c>
      <c r="C28" s="40" t="n">
        <v>47.61</v>
      </c>
      <c r="D28" s="19" t="n">
        <v>3</v>
      </c>
      <c r="E28" s="40" t="n">
        <v>15.87</v>
      </c>
      <c r="F28" s="40" t="n">
        <v>11.08</v>
      </c>
      <c r="G28" s="40" t="n">
        <v>31.74</v>
      </c>
      <c r="H28" s="39" t="n">
        <v>34.91</v>
      </c>
      <c r="I28" s="39" t="n">
        <v>23.27</v>
      </c>
      <c r="J28" s="39" t="n">
        <v>33.33</v>
      </c>
      <c r="K28" s="21" t="n">
        <v>1.72</v>
      </c>
      <c r="L28" s="39" t="n">
        <v>5.42</v>
      </c>
      <c r="M28" s="19" t="n">
        <v>35</v>
      </c>
    </row>
    <row r="29" ht="18" customHeight="1">
      <c r="A29" s="10" t="inlineStr">
        <is>
          <t>Norse Tradesman Viking Knife Blade</t>
        </is>
      </c>
      <c r="B29" s="32" t="inlineStr">
        <is>
          <t>B08HJN7J5K</t>
        </is>
      </c>
      <c r="C29" s="35" t="n">
        <v>44.87</v>
      </c>
      <c r="D29" s="13" t="n">
        <v>1</v>
      </c>
      <c r="E29" s="35" t="n">
        <v>44.87</v>
      </c>
      <c r="F29" s="35" t="n">
        <v>50.67</v>
      </c>
      <c r="G29" s="35" t="n">
        <v>0</v>
      </c>
      <c r="H29" s="34" t="n">
        <v>0</v>
      </c>
      <c r="I29" s="34" t="n">
        <v>112.93</v>
      </c>
      <c r="J29" s="34" t="n"/>
      <c r="K29" s="23" t="n">
        <v>-43.47</v>
      </c>
      <c r="L29" s="34" t="n">
        <v>-89.76000000000001</v>
      </c>
      <c r="M29" s="13" t="n">
        <v>135</v>
      </c>
    </row>
    <row r="30" ht="18" customHeight="1">
      <c r="A30" s="16" t="inlineStr">
        <is>
          <t>Handforged Medieval Cutlery Set - Stainless Steel Knife…</t>
        </is>
      </c>
      <c r="B30" s="37" t="inlineStr">
        <is>
          <t>B0B46NLHP3</t>
        </is>
      </c>
      <c r="C30" s="40" t="n">
        <v>44.87</v>
      </c>
      <c r="D30" s="19" t="n">
        <v>1</v>
      </c>
      <c r="E30" s="40" t="n">
        <v>44.87</v>
      </c>
      <c r="F30" s="40" t="n">
        <v>9.35</v>
      </c>
      <c r="G30" s="40" t="n">
        <v>0</v>
      </c>
      <c r="H30" s="39" t="n">
        <v>0</v>
      </c>
      <c r="I30" s="39" t="n">
        <v>20.84</v>
      </c>
      <c r="J30" s="39" t="n"/>
      <c r="K30" s="21" t="n">
        <v>24.59</v>
      </c>
      <c r="L30" s="39" t="n">
        <v>54.8</v>
      </c>
      <c r="M30" s="19" t="n">
        <v>52</v>
      </c>
    </row>
    <row r="31" ht="18" customHeight="1">
      <c r="A31" s="10" t="inlineStr">
        <is>
          <t>Genuine Ox-Horn Candle Holder Cups Natural</t>
        </is>
      </c>
      <c r="B31" s="32" t="inlineStr">
        <is>
          <t>B0CCV98S7K</t>
        </is>
      </c>
      <c r="C31" s="35" t="n">
        <v>43.87</v>
      </c>
      <c r="D31" s="13" t="n">
        <v>1</v>
      </c>
      <c r="E31" s="35" t="n">
        <v>43.87</v>
      </c>
      <c r="F31" s="35" t="n">
        <v>0</v>
      </c>
      <c r="G31" s="35" t="n">
        <v>0</v>
      </c>
      <c r="H31" s="34" t="n">
        <v>0</v>
      </c>
      <c r="I31" s="34" t="n">
        <v>0</v>
      </c>
      <c r="J31" s="34" t="n"/>
      <c r="K31" s="15" t="n">
        <v>21.08</v>
      </c>
      <c r="L31" s="34" t="n">
        <v>48.05</v>
      </c>
      <c r="M31" s="13" t="n">
        <v>12</v>
      </c>
    </row>
    <row r="32" ht="20" customHeight="1">
      <c r="A32" s="24" t="inlineStr">
        <is>
          <t>TOTALS / AVERAGES</t>
        </is>
      </c>
      <c r="B32" s="25" t="inlineStr"/>
      <c r="C32" s="26">
        <f>SUM(C13:C31)</f>
        <v/>
      </c>
      <c r="D32" s="27">
        <f>SUM(D13:D31)</f>
        <v/>
      </c>
      <c r="E32" s="25" t="inlineStr"/>
      <c r="F32" s="26">
        <f>SUM(F13:F31)</f>
        <v/>
      </c>
      <c r="G32" s="26">
        <f>SUM(G13:G31)</f>
        <v/>
      </c>
      <c r="H32" s="28">
        <f>AVERAGE(H13:H31)</f>
        <v/>
      </c>
      <c r="I32" s="28">
        <f>AVERAGE(I13:I31)</f>
        <v/>
      </c>
      <c r="J32" s="25" t="inlineStr"/>
      <c r="K32" s="26">
        <f>SUM(K13:K31)</f>
        <v/>
      </c>
      <c r="L32" s="25" t="inlineStr"/>
      <c r="M32" s="27">
        <f>SUM(M13:M31)</f>
        <v/>
      </c>
    </row>
  </sheetData>
  <mergeCells count="19">
    <mergeCell ref="A8"/>
    <mergeCell ref="C8"/>
    <mergeCell ref="I8"/>
    <mergeCell ref="C7"/>
    <mergeCell ref="A4:M4"/>
    <mergeCell ref="E7"/>
    <mergeCell ref="I6"/>
    <mergeCell ref="C6"/>
    <mergeCell ref="A11:M11"/>
    <mergeCell ref="A6"/>
    <mergeCell ref="E8"/>
    <mergeCell ref="G8"/>
    <mergeCell ref="A7"/>
    <mergeCell ref="G7"/>
    <mergeCell ref="I7"/>
    <mergeCell ref="G6"/>
    <mergeCell ref="A3:M3"/>
    <mergeCell ref="E6"/>
    <mergeCell ref="A2:M2"/>
  </mergeCells>
  <conditionalFormatting sqref="C13:C31">
    <cfRule type="colorScale" priority="1">
      <colorScale>
        <cfvo type="min"/>
        <cfvo type="max"/>
        <color rgb="FFFFFFFF"/>
        <color rgb="FFE85B0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3" customWidth="1" min="9" max="9"/>
    <col width="14" customWidth="1" min="10" max="10"/>
  </cols>
  <sheetData>
    <row r="1" ht="36" customHeight="1">
      <c r="A1" s="29" t="inlineStr">
        <is>
          <t>ADVERTISING ANALYSIS  —  Norse Tradesman  |  Mar 02–08, 2026</t>
        </is>
      </c>
    </row>
    <row r="2" ht="4" customHeight="1">
      <c r="A2" s="3" t="n"/>
    </row>
    <row r="3" ht="28" customHeight="1">
      <c r="A3" s="30" t="inlineStr">
        <is>
          <t>Product</t>
        </is>
      </c>
      <c r="B3" s="30" t="inlineStr">
        <is>
          <t>ASIN</t>
        </is>
      </c>
      <c r="C3" s="30" t="inlineStr">
        <is>
          <t>Impressions</t>
        </is>
      </c>
      <c r="D3" s="30" t="inlineStr">
        <is>
          <t>CTR (%)</t>
        </is>
      </c>
      <c r="E3" s="30" t="inlineStr">
        <is>
          <t>CPC ($)</t>
        </is>
      </c>
      <c r="F3" s="30" t="inlineStr">
        <is>
          <t>Ad Spend ($)</t>
        </is>
      </c>
      <c r="G3" s="30" t="inlineStr">
        <is>
          <t>Ad Sales ($)</t>
        </is>
      </c>
      <c r="H3" s="30" t="inlineStr">
        <is>
          <t>ACoS (%)</t>
        </is>
      </c>
      <c r="I3" s="30" t="inlineStr">
        <is>
          <t>Conv. Rate (%)</t>
        </is>
      </c>
      <c r="J3" s="30" t="inlineStr">
        <is>
          <t>Ad Efficiency</t>
        </is>
      </c>
    </row>
    <row r="4" ht="17" customHeight="1">
      <c r="A4" s="31" t="inlineStr">
        <is>
          <t>Norse Tradesman Horn Tankard</t>
        </is>
      </c>
      <c r="B4" s="32" t="inlineStr">
        <is>
          <t>B0CSGXT2X2</t>
        </is>
      </c>
      <c r="C4" s="33" t="n">
        <v>94708</v>
      </c>
      <c r="D4" s="34" t="n">
        <v>0.66</v>
      </c>
      <c r="E4" s="35" t="n">
        <v>0.84</v>
      </c>
      <c r="F4" s="35" t="n">
        <v>524.01</v>
      </c>
      <c r="G4" s="35" t="n">
        <v>570.1799999999999</v>
      </c>
      <c r="H4" s="34" t="n">
        <v>91.90000000000001</v>
      </c>
      <c r="I4" s="34" t="n">
        <v>2.24</v>
      </c>
      <c r="J4" s="32" t="inlineStr">
        <is>
          <t>🔴 Poor</t>
        </is>
      </c>
    </row>
    <row r="5" ht="17" customHeight="1">
      <c r="A5" s="36" t="inlineStr">
        <is>
          <t>Norse Tradesman Viking Blow Horn - Deep Sound - Polishe…</t>
        </is>
      </c>
      <c r="B5" s="37" t="inlineStr">
        <is>
          <t>B0CGXQ2HRK</t>
        </is>
      </c>
      <c r="C5" s="38" t="n">
        <v>38397</v>
      </c>
      <c r="D5" s="39" t="n">
        <v>0.98</v>
      </c>
      <c r="E5" s="40" t="n">
        <v>0.6</v>
      </c>
      <c r="F5" s="40" t="n">
        <v>225.79</v>
      </c>
      <c r="G5" s="40" t="n">
        <v>656.5700000000001</v>
      </c>
      <c r="H5" s="39" t="n">
        <v>34.39</v>
      </c>
      <c r="I5" s="39" t="n">
        <v>2.93</v>
      </c>
      <c r="J5" s="37" t="inlineStr">
        <is>
          <t>🟡 Good</t>
        </is>
      </c>
    </row>
    <row r="6" ht="17" customHeight="1">
      <c r="A6" s="31" t="inlineStr">
        <is>
          <t>Norse Tradesman Handcrafted Ox-Horn Viking Drinking Hor…</t>
        </is>
      </c>
      <c r="B6" s="32" t="inlineStr">
        <is>
          <t>B0FVGC9Z8F</t>
        </is>
      </c>
      <c r="C6" s="33" t="n">
        <v>45570</v>
      </c>
      <c r="D6" s="34" t="n">
        <v>0.77</v>
      </c>
      <c r="E6" s="35" t="n">
        <v>0.77</v>
      </c>
      <c r="F6" s="35" t="n">
        <v>270.57</v>
      </c>
      <c r="G6" s="35" t="n">
        <v>328.96</v>
      </c>
      <c r="H6" s="34" t="n">
        <v>82.25</v>
      </c>
      <c r="I6" s="34" t="n">
        <v>2.29</v>
      </c>
      <c r="J6" s="32" t="inlineStr">
        <is>
          <t>🔴 Poor</t>
        </is>
      </c>
    </row>
    <row r="7" ht="17" customHeight="1">
      <c r="A7" s="36" t="inlineStr">
        <is>
          <t>Norse Tradesman Spring Steel Viking Sword</t>
        </is>
      </c>
      <c r="B7" s="37" t="inlineStr">
        <is>
          <t>B0CR4JJ9W8</t>
        </is>
      </c>
      <c r="C7" s="38" t="n">
        <v>15719</v>
      </c>
      <c r="D7" s="39" t="n">
        <v>1.13</v>
      </c>
      <c r="E7" s="40" t="n">
        <v>0.32</v>
      </c>
      <c r="F7" s="40" t="n">
        <v>56.69</v>
      </c>
      <c r="G7" s="40" t="n">
        <v>179.87</v>
      </c>
      <c r="H7" s="39" t="n">
        <v>31.52</v>
      </c>
      <c r="I7" s="39" t="n">
        <v>0.5600000000000001</v>
      </c>
      <c r="J7" s="37" t="inlineStr">
        <is>
          <t>🟡 Good</t>
        </is>
      </c>
    </row>
    <row r="8" ht="17" customHeight="1">
      <c r="A8" s="31" t="inlineStr">
        <is>
          <t>Norse Tradesman Genuine Shot Glass Set</t>
        </is>
      </c>
      <c r="B8" s="32" t="inlineStr">
        <is>
          <t>B09861G7NW</t>
        </is>
      </c>
      <c r="C8" s="33" t="n">
        <v>13346</v>
      </c>
      <c r="D8" s="34" t="n">
        <v>1.06</v>
      </c>
      <c r="E8" s="35" t="n">
        <v>0.5600000000000001</v>
      </c>
      <c r="F8" s="35" t="n">
        <v>79.75</v>
      </c>
      <c r="G8" s="35" t="n">
        <v>412.35</v>
      </c>
      <c r="H8" s="34" t="n">
        <v>19.34</v>
      </c>
      <c r="I8" s="34" t="n">
        <v>2.82</v>
      </c>
      <c r="J8" s="32" t="inlineStr">
        <is>
          <t>🟢 Excellent</t>
        </is>
      </c>
    </row>
    <row r="9" ht="17" customHeight="1">
      <c r="A9" s="36" t="inlineStr">
        <is>
          <t>Norse Tradesman Viking Axe Carbon Steel Axe Head &amp; Teak…</t>
        </is>
      </c>
      <c r="B9" s="37" t="inlineStr">
        <is>
          <t>B0CKCGNNKK</t>
        </is>
      </c>
      <c r="C9" s="38" t="n">
        <v>17175</v>
      </c>
      <c r="D9" s="39" t="n">
        <v>0.59</v>
      </c>
      <c r="E9" s="40" t="n">
        <v>0.4</v>
      </c>
      <c r="F9" s="40" t="n">
        <v>39.93</v>
      </c>
      <c r="G9" s="40" t="n">
        <v>0</v>
      </c>
      <c r="H9" s="39" t="n">
        <v>0</v>
      </c>
      <c r="I9" s="39" t="n">
        <v>0</v>
      </c>
      <c r="J9" s="37" t="inlineStr">
        <is>
          <t>🟢 Excellent</t>
        </is>
      </c>
    </row>
    <row r="10" ht="17" customHeight="1">
      <c r="A10" s="31" t="inlineStr">
        <is>
          <t>Handmade Genuine Leather Axe Holster with Belt Loop - f…</t>
        </is>
      </c>
      <c r="B10" s="32" t="inlineStr">
        <is>
          <t>B07Y42JX83</t>
        </is>
      </c>
      <c r="C10" s="33" t="n">
        <v>8940</v>
      </c>
      <c r="D10" s="34" t="n">
        <v>1.07</v>
      </c>
      <c r="E10" s="35" t="n">
        <v>0.35</v>
      </c>
      <c r="F10" s="35" t="n">
        <v>33.75</v>
      </c>
      <c r="G10" s="35" t="n">
        <v>79.48</v>
      </c>
      <c r="H10" s="34" t="n">
        <v>42.46</v>
      </c>
      <c r="I10" s="34" t="n">
        <v>4.17</v>
      </c>
      <c r="J10" s="32" t="inlineStr">
        <is>
          <t>🟠 Fair</t>
        </is>
      </c>
    </row>
    <row r="11" ht="17" customHeight="1">
      <c r="A11" s="36" t="inlineStr">
        <is>
          <t>Norse Tradesman Wooden Tankard</t>
        </is>
      </c>
      <c r="B11" s="37" t="inlineStr">
        <is>
          <t>B08P4GYJX7</t>
        </is>
      </c>
      <c r="C11" s="38" t="n">
        <v>3168</v>
      </c>
      <c r="D11" s="39" t="n">
        <v>1.8</v>
      </c>
      <c r="E11" s="40" t="n">
        <v>0.38</v>
      </c>
      <c r="F11" s="40" t="n">
        <v>21.56</v>
      </c>
      <c r="G11" s="40" t="n">
        <v>122.74</v>
      </c>
      <c r="H11" s="39" t="n">
        <v>17.57</v>
      </c>
      <c r="I11" s="39" t="n">
        <v>3.51</v>
      </c>
      <c r="J11" s="37" t="inlineStr">
        <is>
          <t>🟢 Excellent</t>
        </is>
      </c>
    </row>
    <row r="12" ht="17" customHeight="1">
      <c r="A12" s="31" t="inlineStr">
        <is>
          <t>Premium Leather Drinking Horn Belt Holster - Adjustable…</t>
        </is>
      </c>
      <c r="B12" s="32" t="inlineStr">
        <is>
          <t>B07Y41KPJV</t>
        </is>
      </c>
      <c r="C12" s="33" t="n">
        <v>1489</v>
      </c>
      <c r="D12" s="34" t="n">
        <v>1.48</v>
      </c>
      <c r="E12" s="35" t="n">
        <v>0.47</v>
      </c>
      <c r="F12" s="35" t="n">
        <v>10.36</v>
      </c>
      <c r="G12" s="35" t="n">
        <v>50.61</v>
      </c>
      <c r="H12" s="34" t="n">
        <v>20.47</v>
      </c>
      <c r="I12" s="34" t="n">
        <v>13.64</v>
      </c>
      <c r="J12" s="32" t="inlineStr">
        <is>
          <t>🟡 Good</t>
        </is>
      </c>
    </row>
    <row r="13" ht="17" customHeight="1">
      <c r="A13" s="36" t="inlineStr">
        <is>
          <t>Norse Tradesman Viking Bone Pendant - Hard-Carved Norse…</t>
        </is>
      </c>
      <c r="B13" s="37" t="inlineStr">
        <is>
          <t>B07V9V6L6K</t>
        </is>
      </c>
      <c r="C13" s="38" t="n">
        <v>8977</v>
      </c>
      <c r="D13" s="39" t="n">
        <v>0.6</v>
      </c>
      <c r="E13" s="40" t="n">
        <v>0.75</v>
      </c>
      <c r="F13" s="40" t="n">
        <v>40.37</v>
      </c>
      <c r="G13" s="40" t="n">
        <v>99.34999999999999</v>
      </c>
      <c r="H13" s="39" t="n">
        <v>40.63</v>
      </c>
      <c r="I13" s="39" t="n">
        <v>9.26</v>
      </c>
      <c r="J13" s="37" t="inlineStr">
        <is>
          <t>🟠 Fair</t>
        </is>
      </c>
    </row>
    <row r="14" ht="17" customHeight="1">
      <c r="A14" s="31" t="inlineStr">
        <is>
          <t>Norse Tradesman Authentic Viking Bone Comb for Beard an…</t>
        </is>
      </c>
      <c r="B14" s="32" t="inlineStr">
        <is>
          <t>B07RV2L1S3</t>
        </is>
      </c>
      <c r="C14" s="33" t="n">
        <v>2161</v>
      </c>
      <c r="D14" s="34" t="n">
        <v>1.62</v>
      </c>
      <c r="E14" s="35" t="n">
        <v>0.42</v>
      </c>
      <c r="F14" s="35" t="n">
        <v>14.72</v>
      </c>
      <c r="G14" s="35" t="n">
        <v>32.87</v>
      </c>
      <c r="H14" s="34" t="n">
        <v>44.78</v>
      </c>
      <c r="I14" s="34" t="n">
        <v>2.86</v>
      </c>
      <c r="J14" s="32" t="inlineStr">
        <is>
          <t>🟠 Fair</t>
        </is>
      </c>
    </row>
    <row r="15" ht="17" customHeight="1">
      <c r="A15" s="36" t="inlineStr">
        <is>
          <t>Viking Rune Beard Bead Coil Set (8-Pack) - Norse Rings …</t>
        </is>
      </c>
      <c r="B15" s="37" t="inlineStr">
        <is>
          <t>B07D6R1WZH</t>
        </is>
      </c>
      <c r="C15" s="38" t="n">
        <v>18409</v>
      </c>
      <c r="D15" s="39" t="n">
        <v>0.82</v>
      </c>
      <c r="E15" s="40" t="n">
        <v>0.2</v>
      </c>
      <c r="F15" s="40" t="n">
        <v>30.62</v>
      </c>
      <c r="G15" s="40" t="n">
        <v>74.34999999999999</v>
      </c>
      <c r="H15" s="39" t="n">
        <v>41.18</v>
      </c>
      <c r="I15" s="39" t="n">
        <v>3.31</v>
      </c>
      <c r="J15" s="37" t="inlineStr">
        <is>
          <t>🟠 Fair</t>
        </is>
      </c>
    </row>
    <row r="16" ht="17" customHeight="1">
      <c r="A16" s="31" t="inlineStr">
        <is>
          <t>Handcarved Wooden Kuksa Cup - Scandinavian Bushcraft Bo…</t>
        </is>
      </c>
      <c r="B16" s="32" t="inlineStr">
        <is>
          <t>B0979HSDTT</t>
        </is>
      </c>
      <c r="C16" s="33" t="n">
        <v>2944</v>
      </c>
      <c r="D16" s="34" t="n">
        <v>1.29</v>
      </c>
      <c r="E16" s="35" t="n">
        <v>0.3</v>
      </c>
      <c r="F16" s="35" t="n">
        <v>11.27</v>
      </c>
      <c r="G16" s="35" t="n">
        <v>0</v>
      </c>
      <c r="H16" s="34" t="n">
        <v>0</v>
      </c>
      <c r="I16" s="34" t="n">
        <v>0</v>
      </c>
      <c r="J16" s="32" t="inlineStr">
        <is>
          <t>🟢 Excellent</t>
        </is>
      </c>
    </row>
    <row r="17" ht="17" customHeight="1">
      <c r="A17" s="36" t="inlineStr">
        <is>
          <t>Norse Tradesman Wolf Beard Bead Coils (8-Pack) - Viking…</t>
        </is>
      </c>
      <c r="B17" s="37" t="inlineStr">
        <is>
          <t>B07RQ6QQ5V</t>
        </is>
      </c>
      <c r="C17" s="38" t="n">
        <v>12532</v>
      </c>
      <c r="D17" s="39" t="n">
        <v>1.16</v>
      </c>
      <c r="E17" s="40" t="n">
        <v>0.22</v>
      </c>
      <c r="F17" s="40" t="n">
        <v>31.99</v>
      </c>
      <c r="G17" s="40" t="n">
        <v>44.61</v>
      </c>
      <c r="H17" s="39" t="n">
        <v>71.70999999999999</v>
      </c>
      <c r="I17" s="39" t="n">
        <v>2.07</v>
      </c>
      <c r="J17" s="37" t="inlineStr">
        <is>
          <t>🔴 Poor</t>
        </is>
      </c>
    </row>
    <row r="18" ht="17" customHeight="1">
      <c r="A18" s="31" t="inlineStr">
        <is>
          <t>Norse Tradesman Viking Bracelet - Semi-Adjustable Bangl…</t>
        </is>
      </c>
      <c r="B18" s="32" t="inlineStr">
        <is>
          <t>B0CRZGVTCT</t>
        </is>
      </c>
      <c r="C18" s="33" t="n">
        <v>1302</v>
      </c>
      <c r="D18" s="34" t="n">
        <v>1</v>
      </c>
      <c r="E18" s="35" t="n">
        <v>0.08</v>
      </c>
      <c r="F18" s="35" t="n">
        <v>0.98</v>
      </c>
      <c r="G18" s="35" t="n">
        <v>0</v>
      </c>
      <c r="H18" s="34" t="n">
        <v>0</v>
      </c>
      <c r="I18" s="34" t="n">
        <v>0</v>
      </c>
      <c r="J18" s="32" t="inlineStr">
        <is>
          <t>🟢 Excellent</t>
        </is>
      </c>
    </row>
    <row r="19" ht="17" customHeight="1">
      <c r="A19" s="36" t="inlineStr">
        <is>
          <t>Norse Tradesman Handcrafted Wooden Drinking Horn Stand …</t>
        </is>
      </c>
      <c r="B19" s="37" t="inlineStr">
        <is>
          <t>B07X49ZD57</t>
        </is>
      </c>
      <c r="C19" s="38" t="n">
        <v>664</v>
      </c>
      <c r="D19" s="39" t="n">
        <v>2.41</v>
      </c>
      <c r="E19" s="40" t="n">
        <v>0.6899999999999999</v>
      </c>
      <c r="F19" s="40" t="n">
        <v>11.08</v>
      </c>
      <c r="G19" s="40" t="n">
        <v>31.74</v>
      </c>
      <c r="H19" s="39" t="n">
        <v>34.91</v>
      </c>
      <c r="I19" s="39" t="n">
        <v>12.5</v>
      </c>
      <c r="J19" s="37" t="inlineStr">
        <is>
          <t>🟡 Good</t>
        </is>
      </c>
    </row>
    <row r="20" ht="17" customHeight="1">
      <c r="A20" s="31" t="inlineStr">
        <is>
          <t>Norse Tradesman Viking Knife Blade</t>
        </is>
      </c>
      <c r="B20" s="32" t="inlineStr">
        <is>
          <t>B08HJN7J5K</t>
        </is>
      </c>
      <c r="C20" s="33" t="n">
        <v>14469</v>
      </c>
      <c r="D20" s="34" t="n">
        <v>1.24</v>
      </c>
      <c r="E20" s="35" t="n">
        <v>0.28</v>
      </c>
      <c r="F20" s="35" t="n">
        <v>50.67</v>
      </c>
      <c r="G20" s="35" t="n">
        <v>0</v>
      </c>
      <c r="H20" s="34" t="n">
        <v>0</v>
      </c>
      <c r="I20" s="34" t="n">
        <v>0</v>
      </c>
      <c r="J20" s="32" t="inlineStr">
        <is>
          <t>🟢 Excellent</t>
        </is>
      </c>
    </row>
    <row r="21" ht="17" customHeight="1">
      <c r="A21" s="36" t="inlineStr">
        <is>
          <t>Handforged Medieval Cutlery Set - Stainless Steel Knife…</t>
        </is>
      </c>
      <c r="B21" s="37" t="inlineStr">
        <is>
          <t>B0B46NLHP3</t>
        </is>
      </c>
      <c r="C21" s="38" t="n">
        <v>4184</v>
      </c>
      <c r="D21" s="39" t="n">
        <v>0.8100000000000001</v>
      </c>
      <c r="E21" s="40" t="n">
        <v>0.27</v>
      </c>
      <c r="F21" s="40" t="n">
        <v>9.35</v>
      </c>
      <c r="G21" s="40" t="n">
        <v>0</v>
      </c>
      <c r="H21" s="39" t="n">
        <v>0</v>
      </c>
      <c r="I21" s="39" t="n">
        <v>0</v>
      </c>
      <c r="J21" s="37" t="inlineStr">
        <is>
          <t>🟢 Excellent</t>
        </is>
      </c>
    </row>
    <row r="22" ht="17" customHeight="1">
      <c r="A22" s="31" t="inlineStr">
        <is>
          <t>Genuine Ox-Horn Candle Holder Cups Natural</t>
        </is>
      </c>
      <c r="B22" s="32" t="inlineStr">
        <is>
          <t>B0CCV98S7K</t>
        </is>
      </c>
      <c r="C22" s="33" t="n">
        <v>1</v>
      </c>
      <c r="D22" s="34" t="n">
        <v>0</v>
      </c>
      <c r="E22" s="35" t="n"/>
      <c r="F22" s="35" t="n">
        <v>0</v>
      </c>
      <c r="G22" s="35" t="n">
        <v>0</v>
      </c>
      <c r="H22" s="34" t="n">
        <v>0</v>
      </c>
      <c r="I22" s="34" t="n">
        <v>0</v>
      </c>
      <c r="J22" s="32" t="inlineStr">
        <is>
          <t>🟢 Excellent</t>
        </is>
      </c>
    </row>
    <row r="23" ht="20" customHeight="1">
      <c r="A23" s="41" t="inlineStr">
        <is>
          <t>TOTALS / AVERAGES</t>
        </is>
      </c>
      <c r="B23" s="25" t="inlineStr"/>
      <c r="C23" s="27">
        <f>SUM(C4:C22)</f>
        <v/>
      </c>
      <c r="D23" s="28">
        <f>AVERAGE(D4:D22)</f>
        <v/>
      </c>
      <c r="E23" s="26">
        <f>AVERAGE(E4:E22)</f>
        <v/>
      </c>
      <c r="F23" s="26">
        <f>SUM(F4:F22)</f>
        <v/>
      </c>
      <c r="G23" s="26">
        <f>SUM(G4:G22)</f>
        <v/>
      </c>
      <c r="H23" s="28">
        <f>AVERAGE(H4:H22)</f>
        <v/>
      </c>
      <c r="I23" s="28">
        <f>AVERAGE(I4:I22)</f>
        <v/>
      </c>
      <c r="J23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2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 ht="36" customHeight="1">
      <c r="A1" s="29" t="inlineStr">
        <is>
          <t>INVENTORY &amp; PRODUCT HEALTH  —  Norse Tradesman  |  Mar 02–08, 2026</t>
        </is>
      </c>
    </row>
    <row r="2" ht="4" customHeight="1">
      <c r="A2" s="3" t="n"/>
    </row>
    <row r="3" ht="28" customHeight="1">
      <c r="A3" s="30" t="inlineStr">
        <is>
          <t>Product</t>
        </is>
      </c>
      <c r="B3" s="30" t="inlineStr">
        <is>
          <t>ASIN</t>
        </is>
      </c>
      <c r="C3" s="30" t="inlineStr">
        <is>
          <t>Inventory (Units)</t>
        </is>
      </c>
      <c r="D3" s="30" t="inlineStr">
        <is>
          <t>Days Cover</t>
        </is>
      </c>
      <c r="E3" s="30" t="inlineStr">
        <is>
          <t>Out-of-Stock %</t>
        </is>
      </c>
      <c r="F3" s="30" t="inlineStr">
        <is>
          <t>Buybox Win %</t>
        </is>
      </c>
      <c r="G3" s="30" t="inlineStr">
        <is>
          <t>Profit Margin %</t>
        </is>
      </c>
      <c r="H3" s="30" t="inlineStr">
        <is>
          <t>Stock Status</t>
        </is>
      </c>
    </row>
    <row r="4" ht="17" customHeight="1">
      <c r="A4" s="31" t="inlineStr">
        <is>
          <t>Norse Tradesman Horn Tankard</t>
        </is>
      </c>
      <c r="B4" s="32" t="inlineStr">
        <is>
          <t>B0CSGXT2X2</t>
        </is>
      </c>
      <c r="C4" s="33" t="n">
        <v>1859</v>
      </c>
      <c r="D4" s="42" t="n">
        <v>150.8513043478261</v>
      </c>
      <c r="E4" s="34" t="n">
        <v>63.04</v>
      </c>
      <c r="F4" s="34" t="n">
        <v>98.67</v>
      </c>
      <c r="G4" s="34" t="n">
        <v>50.77</v>
      </c>
      <c r="H4" s="32" t="inlineStr">
        <is>
          <t>🔴 Critical OOS</t>
        </is>
      </c>
    </row>
    <row r="5" ht="17" customHeight="1">
      <c r="A5" s="36" t="inlineStr">
        <is>
          <t>Norse Tradesman Viking Blow Horn - Deep Sound - Polishe…</t>
        </is>
      </c>
      <c r="B5" s="37" t="inlineStr">
        <is>
          <t>B0CGXQ2HRK</t>
        </is>
      </c>
      <c r="C5" s="38" t="n">
        <v>795</v>
      </c>
      <c r="D5" s="43" t="n">
        <v>547.5333333333333</v>
      </c>
      <c r="E5" s="39" t="n">
        <v>0</v>
      </c>
      <c r="F5" s="39" t="n">
        <v>97.90000000000001</v>
      </c>
      <c r="G5" s="39" t="n">
        <v>55.2</v>
      </c>
      <c r="H5" s="37" t="inlineStr">
        <is>
          <t>🟢 In Stock</t>
        </is>
      </c>
    </row>
    <row r="6" ht="17" customHeight="1">
      <c r="A6" s="31" t="inlineStr">
        <is>
          <t>Norse Tradesman Handcrafted Ox-Horn Viking Drinking Hor…</t>
        </is>
      </c>
      <c r="B6" s="32" t="inlineStr">
        <is>
          <t>B0FVGC9Z8F</t>
        </is>
      </c>
      <c r="C6" s="33" t="n">
        <v>558</v>
      </c>
      <c r="D6" s="42" t="n">
        <v>146.8707692307692</v>
      </c>
      <c r="E6" s="34" t="n">
        <v>47.06</v>
      </c>
      <c r="F6" s="34" t="n">
        <v>95.67</v>
      </c>
      <c r="G6" s="34" t="n">
        <v>36.51</v>
      </c>
      <c r="H6" s="32" t="inlineStr">
        <is>
          <t>🟠 Partial OOS</t>
        </is>
      </c>
    </row>
    <row r="7" ht="17" customHeight="1">
      <c r="A7" s="36" t="inlineStr">
        <is>
          <t>Norse Tradesman Spring Steel Viking Sword</t>
        </is>
      </c>
      <c r="B7" s="37" t="inlineStr">
        <is>
          <t>B0CR4JJ9W8</t>
        </is>
      </c>
      <c r="C7" s="38" t="n">
        <v>92</v>
      </c>
      <c r="D7" s="43" t="n">
        <v>421.25</v>
      </c>
      <c r="E7" s="39" t="n">
        <v>33.33</v>
      </c>
      <c r="F7" s="39" t="n">
        <v>99.7</v>
      </c>
      <c r="G7" s="39" t="n">
        <v>64.25</v>
      </c>
      <c r="H7" s="37" t="inlineStr">
        <is>
          <t>🟠 Partial OOS</t>
        </is>
      </c>
    </row>
    <row r="8" ht="17" customHeight="1">
      <c r="A8" s="31" t="inlineStr">
        <is>
          <t>Norse Tradesman Genuine Shot Glass Set</t>
        </is>
      </c>
      <c r="B8" s="32" t="inlineStr">
        <is>
          <t>B09861G7NW</t>
        </is>
      </c>
      <c r="C8" s="33" t="n">
        <v>291</v>
      </c>
      <c r="D8" s="42" t="n">
        <v>553</v>
      </c>
      <c r="E8" s="34" t="n">
        <v>40</v>
      </c>
      <c r="F8" s="34" t="n">
        <v>98.73</v>
      </c>
      <c r="G8" s="34" t="n">
        <v>29.69</v>
      </c>
      <c r="H8" s="32" t="inlineStr">
        <is>
          <t>🟠 Partial OOS</t>
        </is>
      </c>
    </row>
    <row r="9" ht="17" customHeight="1">
      <c r="A9" s="36" t="inlineStr">
        <is>
          <t>Norse Tradesman Viking Axe Carbon Steel Axe Head &amp; Teak…</t>
        </is>
      </c>
      <c r="B9" s="37" t="inlineStr">
        <is>
          <t>B0CKCGNNKK</t>
        </is>
      </c>
      <c r="C9" s="38" t="n">
        <v>177</v>
      </c>
      <c r="D9" s="43" t="n">
        <v>167.865</v>
      </c>
      <c r="E9" s="39" t="n">
        <v>33.33</v>
      </c>
      <c r="F9" s="39" t="n">
        <v>98.09999999999999</v>
      </c>
      <c r="G9" s="39" t="n">
        <v>47.85</v>
      </c>
      <c r="H9" s="37" t="inlineStr">
        <is>
          <t>🟠 Partial OOS</t>
        </is>
      </c>
    </row>
    <row r="10" ht="17" customHeight="1">
      <c r="A10" s="31" t="inlineStr">
        <is>
          <t>Handmade Genuine Leather Axe Holster with Belt Loop - f…</t>
        </is>
      </c>
      <c r="B10" s="32" t="inlineStr">
        <is>
          <t>B07Y42JX83</t>
        </is>
      </c>
      <c r="C10" s="33" t="n">
        <v>134</v>
      </c>
      <c r="D10" s="42" t="n">
        <v>111.67</v>
      </c>
      <c r="E10" s="34" t="n">
        <v>0</v>
      </c>
      <c r="F10" s="34" t="n">
        <v>100</v>
      </c>
      <c r="G10" s="34" t="n">
        <v>44.86</v>
      </c>
      <c r="H10" s="32" t="inlineStr">
        <is>
          <t>🟢 In Stock</t>
        </is>
      </c>
    </row>
    <row r="11" ht="17" customHeight="1">
      <c r="A11" s="36" t="inlineStr">
        <is>
          <t>Norse Tradesman Wooden Tankard</t>
        </is>
      </c>
      <c r="B11" s="37" t="inlineStr">
        <is>
          <t>B08P4GYJX7</t>
        </is>
      </c>
      <c r="C11" s="38" t="n">
        <v>40</v>
      </c>
      <c r="D11" s="43" t="n">
        <v>24.23</v>
      </c>
      <c r="E11" s="39" t="n">
        <v>33.33</v>
      </c>
      <c r="F11" s="39" t="n">
        <v>85.47</v>
      </c>
      <c r="G11" s="39" t="n">
        <v>55.85</v>
      </c>
      <c r="H11" s="37" t="inlineStr">
        <is>
          <t>🟠 Partial OOS</t>
        </is>
      </c>
    </row>
    <row r="12" ht="17" customHeight="1">
      <c r="A12" s="31" t="inlineStr">
        <is>
          <t>Premium Leather Drinking Horn Belt Holster - Adjustable…</t>
        </is>
      </c>
      <c r="B12" s="32" t="inlineStr">
        <is>
          <t>B07Y41KPJV</t>
        </is>
      </c>
      <c r="C12" s="33" t="n">
        <v>77</v>
      </c>
      <c r="D12" s="42" t="n">
        <v>154</v>
      </c>
      <c r="E12" s="34" t="n">
        <v>0</v>
      </c>
      <c r="F12" s="34" t="n">
        <v>100</v>
      </c>
      <c r="G12" s="34" t="n">
        <v>54.26</v>
      </c>
      <c r="H12" s="32" t="inlineStr">
        <is>
          <t>🟢 In Stock</t>
        </is>
      </c>
    </row>
    <row r="13" ht="17" customHeight="1">
      <c r="A13" s="36" t="inlineStr">
        <is>
          <t>Norse Tradesman Viking Bone Pendant - Hard-Carved Norse…</t>
        </is>
      </c>
      <c r="B13" s="37" t="inlineStr">
        <is>
          <t>B07V9V6L6K</t>
        </is>
      </c>
      <c r="C13" s="38" t="n">
        <v>56</v>
      </c>
      <c r="D13" s="43" t="n">
        <v>60</v>
      </c>
      <c r="E13" s="39" t="n">
        <v>75</v>
      </c>
      <c r="F13" s="39" t="n">
        <v>97.78</v>
      </c>
      <c r="G13" s="39" t="n">
        <v>12.84</v>
      </c>
      <c r="H13" s="37" t="inlineStr">
        <is>
          <t>🔴 Critical OOS</t>
        </is>
      </c>
    </row>
    <row r="14" ht="17" customHeight="1">
      <c r="A14" s="31" t="inlineStr">
        <is>
          <t>Norse Tradesman Authentic Viking Bone Comb for Beard an…</t>
        </is>
      </c>
      <c r="B14" s="32" t="inlineStr">
        <is>
          <t>B07RV2L1S3</t>
        </is>
      </c>
      <c r="C14" s="33" t="n">
        <v>38</v>
      </c>
      <c r="D14" s="42" t="n">
        <v>87.69</v>
      </c>
      <c r="E14" s="34" t="n">
        <v>0</v>
      </c>
      <c r="F14" s="34" t="n">
        <v>97.31</v>
      </c>
      <c r="G14" s="34" t="n">
        <v>45.95</v>
      </c>
      <c r="H14" s="32" t="inlineStr">
        <is>
          <t>🟢 In Stock</t>
        </is>
      </c>
    </row>
    <row r="15" ht="17" customHeight="1">
      <c r="A15" s="36" t="inlineStr">
        <is>
          <t>Viking Rune Beard Bead Coil Set (8-Pack) - Norse Rings …</t>
        </is>
      </c>
      <c r="B15" s="37" t="inlineStr">
        <is>
          <t>B07D6R1WZH</t>
        </is>
      </c>
      <c r="C15" s="38" t="n">
        <v>143</v>
      </c>
      <c r="D15" s="43" t="n">
        <v>134.06</v>
      </c>
      <c r="E15" s="39" t="n">
        <v>0</v>
      </c>
      <c r="F15" s="39" t="n">
        <v>99.67</v>
      </c>
      <c r="G15" s="39" t="n">
        <v>19.89</v>
      </c>
      <c r="H15" s="37" t="inlineStr">
        <is>
          <t>🟢 In Stock</t>
        </is>
      </c>
    </row>
    <row r="16" ht="17" customHeight="1">
      <c r="A16" s="31" t="inlineStr">
        <is>
          <t>Handcarved Wooden Kuksa Cup - Scandinavian Bushcraft Bo…</t>
        </is>
      </c>
      <c r="B16" s="32" t="inlineStr">
        <is>
          <t>B0979HSDTT</t>
        </is>
      </c>
      <c r="C16" s="33" t="n">
        <v>52</v>
      </c>
      <c r="D16" s="42" t="n">
        <v>141.82</v>
      </c>
      <c r="E16" s="34" t="n">
        <v>0</v>
      </c>
      <c r="F16" s="34" t="n">
        <v>97.59999999999999</v>
      </c>
      <c r="G16" s="34" t="n">
        <v>52.16</v>
      </c>
      <c r="H16" s="32" t="inlineStr">
        <is>
          <t>🟢 In Stock</t>
        </is>
      </c>
    </row>
    <row r="17" ht="17" customHeight="1">
      <c r="A17" s="36" t="inlineStr">
        <is>
          <t>Norse Tradesman Wolf Beard Bead Coils (8-Pack) - Viking…</t>
        </is>
      </c>
      <c r="B17" s="37" t="inlineStr">
        <is>
          <t>B07RQ6QQ5V</t>
        </is>
      </c>
      <c r="C17" s="38" t="n">
        <v>71</v>
      </c>
      <c r="D17" s="43" t="n">
        <v>112.11</v>
      </c>
      <c r="E17" s="39" t="n">
        <v>0</v>
      </c>
      <c r="F17" s="39" t="n">
        <v>100</v>
      </c>
      <c r="G17" s="39" t="n">
        <v>-4.57</v>
      </c>
      <c r="H17" s="37" t="inlineStr">
        <is>
          <t>🟢 In Stock</t>
        </is>
      </c>
    </row>
    <row r="18" ht="17" customHeight="1">
      <c r="A18" s="31" t="inlineStr">
        <is>
          <t>Norse Tradesman Viking Bracelet - Semi-Adjustable Bangl…</t>
        </is>
      </c>
      <c r="B18" s="32" t="inlineStr">
        <is>
          <t>B0CRZGVTCT</t>
        </is>
      </c>
      <c r="C18" s="33" t="n">
        <v>40</v>
      </c>
      <c r="D18" s="42" t="n">
        <v>31.58</v>
      </c>
      <c r="E18" s="34" t="n">
        <v>66.67</v>
      </c>
      <c r="F18" s="34" t="n">
        <v>100</v>
      </c>
      <c r="G18" s="34" t="n">
        <v>55.63</v>
      </c>
      <c r="H18" s="32" t="inlineStr">
        <is>
          <t>🔴 Critical OOS</t>
        </is>
      </c>
    </row>
    <row r="19" ht="17" customHeight="1">
      <c r="A19" s="36" t="inlineStr">
        <is>
          <t>Norse Tradesman Handcrafted Wooden Drinking Horn Stand …</t>
        </is>
      </c>
      <c r="B19" s="37" t="inlineStr">
        <is>
          <t>B07X49ZD57</t>
        </is>
      </c>
      <c r="C19" s="38" t="n">
        <v>35</v>
      </c>
      <c r="D19" s="43" t="n">
        <v>95.45</v>
      </c>
      <c r="E19" s="39" t="n">
        <v>0</v>
      </c>
      <c r="F19" s="39" t="n">
        <v>88.81999999999999</v>
      </c>
      <c r="G19" s="39" t="n">
        <v>5.42</v>
      </c>
      <c r="H19" s="37" t="inlineStr">
        <is>
          <t>🟢 In Stock</t>
        </is>
      </c>
    </row>
    <row r="20" ht="17" customHeight="1">
      <c r="A20" s="31" t="inlineStr">
        <is>
          <t>Norse Tradesman Viking Knife Blade</t>
        </is>
      </c>
      <c r="B20" s="32" t="inlineStr">
        <is>
          <t>B08HJN7J5K</t>
        </is>
      </c>
      <c r="C20" s="33" t="n">
        <v>135</v>
      </c>
      <c r="D20" s="42" t="n">
        <v>272</v>
      </c>
      <c r="E20" s="34" t="n">
        <v>60</v>
      </c>
      <c r="F20" s="34" t="n">
        <v>99.38</v>
      </c>
      <c r="G20" s="34" t="n">
        <v>-89.76000000000001</v>
      </c>
      <c r="H20" s="32" t="inlineStr">
        <is>
          <t>🔴 Critical OOS</t>
        </is>
      </c>
    </row>
    <row r="21" ht="17" customHeight="1">
      <c r="A21" s="36" t="inlineStr">
        <is>
          <t>Handforged Medieval Cutlery Set - Stainless Steel Knife…</t>
        </is>
      </c>
      <c r="B21" s="37" t="inlineStr">
        <is>
          <t>B0B46NLHP3</t>
        </is>
      </c>
      <c r="C21" s="38" t="n">
        <v>52</v>
      </c>
      <c r="D21" s="43" t="n">
        <v>312</v>
      </c>
      <c r="E21" s="39" t="n">
        <v>0</v>
      </c>
      <c r="F21" s="39" t="n">
        <v>100</v>
      </c>
      <c r="G21" s="39" t="n">
        <v>54.8</v>
      </c>
      <c r="H21" s="37" t="inlineStr">
        <is>
          <t>🟢 In Stock</t>
        </is>
      </c>
    </row>
    <row r="22" ht="17" customHeight="1">
      <c r="A22" s="31" t="inlineStr">
        <is>
          <t>Genuine Ox-Horn Candle Holder Cups Natural</t>
        </is>
      </c>
      <c r="B22" s="32" t="inlineStr">
        <is>
          <t>B0CCV98S7K</t>
        </is>
      </c>
      <c r="C22" s="33" t="n">
        <v>12</v>
      </c>
      <c r="D22" s="42" t="n">
        <v>120</v>
      </c>
      <c r="E22" s="34" t="n">
        <v>66.67</v>
      </c>
      <c r="F22" s="34" t="n">
        <v>100</v>
      </c>
      <c r="G22" s="34" t="n">
        <v>48.05</v>
      </c>
      <c r="H22" s="32" t="inlineStr">
        <is>
          <t>🔴 Critical OOS</t>
        </is>
      </c>
    </row>
    <row r="23" ht="20" customHeight="1">
      <c r="A23" s="41" t="inlineStr">
        <is>
          <t>TOTALS / AVERAGES</t>
        </is>
      </c>
      <c r="B23" s="25" t="inlineStr"/>
      <c r="C23" s="27">
        <f>SUM(C4:C22)</f>
        <v/>
      </c>
      <c r="D23" s="44">
        <f>AVERAGE(D4:D22)</f>
        <v/>
      </c>
      <c r="E23" s="28">
        <f>AVERAGE(E4:E22)</f>
        <v/>
      </c>
      <c r="F23" s="28">
        <f>AVERAGE(F4:F22)</f>
        <v/>
      </c>
      <c r="G23" s="28">
        <f>AVERAGE(G4:G22)</f>
        <v/>
      </c>
      <c r="H23" s="2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3" customWidth="1" min="4" max="4"/>
    <col width="9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0" customWidth="1" min="12" max="12"/>
    <col width="10" customWidth="1" min="13" max="13"/>
    <col width="9" customWidth="1" min="14" max="14"/>
    <col width="11" customWidth="1" min="15" max="15"/>
    <col width="11" customWidth="1" min="16" max="16"/>
    <col width="9" customWidth="1" min="17" max="17"/>
    <col width="13" customWidth="1" min="18" max="18"/>
    <col width="13" customWidth="1" min="19" max="19"/>
    <col width="9" customWidth="1" min="20" max="20"/>
    <col width="15" customWidth="1" min="21" max="21"/>
    <col width="15" customWidth="1" min="22" max="22"/>
    <col width="9" customWidth="1" min="23" max="23"/>
    <col width="13" customWidth="1" min="24" max="24"/>
    <col width="13" customWidth="1" min="25" max="25"/>
    <col width="9" customWidth="1" min="26" max="26"/>
    <col width="9" customWidth="1" min="27" max="27"/>
  </cols>
  <sheetData>
    <row r="1" ht="38" customHeight="1">
      <c r="A1" s="54" t="inlineStr">
        <is>
          <t>WEEK-OVER-WEEK COMPARISON  —  Norse Tradesman  |  Mar 02–08 vs Prior Week</t>
        </is>
      </c>
    </row>
    <row r="2" ht="5" customHeight="1">
      <c r="A2" s="3" t="n"/>
    </row>
    <row r="3" ht="20" customHeight="1">
      <c r="A3" s="55" t="inlineStr"/>
      <c r="B3" s="56" t="inlineStr"/>
      <c r="C3" s="57" t="inlineStr">
        <is>
          <t>SALES</t>
        </is>
      </c>
      <c r="D3" s="58" t="n"/>
      <c r="E3" s="59" t="n"/>
      <c r="F3" s="60" t="inlineStr">
        <is>
          <t>UNITS</t>
        </is>
      </c>
      <c r="G3" s="61" t="n"/>
      <c r="H3" s="62" t="n"/>
      <c r="I3" s="63" t="inlineStr">
        <is>
          <t>SESSIONS</t>
        </is>
      </c>
      <c r="J3" s="64" t="n"/>
      <c r="K3" s="65" t="n"/>
      <c r="L3" s="66" t="inlineStr">
        <is>
          <t>CVR</t>
        </is>
      </c>
      <c r="M3" s="67" t="n"/>
      <c r="N3" s="68" t="n"/>
      <c r="O3" s="69" t="inlineStr">
        <is>
          <t>TACoS</t>
        </is>
      </c>
      <c r="P3" s="70" t="n"/>
      <c r="Q3" s="71" t="n"/>
      <c r="R3" s="72" t="inlineStr">
        <is>
          <t>AD SALES</t>
        </is>
      </c>
      <c r="S3" s="73" t="n"/>
      <c r="T3" s="74" t="n"/>
      <c r="U3" s="75" t="inlineStr">
        <is>
          <t>ORGANIC SALES</t>
        </is>
      </c>
      <c r="V3" s="76" t="n"/>
      <c r="W3" s="77" t="n"/>
      <c r="X3" s="78" t="inlineStr">
        <is>
          <t>AD SPEND</t>
        </is>
      </c>
      <c r="Y3" s="79" t="n"/>
      <c r="Z3" s="80" t="n"/>
      <c r="AA3" s="81" t="inlineStr">
        <is>
          <t>PROFIT</t>
        </is>
      </c>
    </row>
    <row r="4" ht="30" customHeight="1">
      <c r="A4" s="82" t="inlineStr">
        <is>
          <t>Product</t>
        </is>
      </c>
      <c r="B4" s="83" t="inlineStr">
        <is>
          <t>ASIN</t>
        </is>
      </c>
      <c r="C4" s="84" t="inlineStr">
        <is>
          <t>This Week</t>
        </is>
      </c>
      <c r="D4" s="85" t="inlineStr">
        <is>
          <t>Prior Week</t>
        </is>
      </c>
      <c r="E4" s="86" t="inlineStr">
        <is>
          <t>Δ %</t>
        </is>
      </c>
      <c r="F4" s="87" t="inlineStr">
        <is>
          <t>This Week</t>
        </is>
      </c>
      <c r="G4" s="88" t="inlineStr">
        <is>
          <t>Prior Week</t>
        </is>
      </c>
      <c r="H4" s="89" t="inlineStr">
        <is>
          <t>Δ %</t>
        </is>
      </c>
      <c r="I4" s="90" t="inlineStr">
        <is>
          <t>This Week</t>
        </is>
      </c>
      <c r="J4" s="91" t="inlineStr">
        <is>
          <t>Prior Week</t>
        </is>
      </c>
      <c r="K4" s="92" t="inlineStr">
        <is>
          <t>Δ %</t>
        </is>
      </c>
      <c r="L4" s="93" t="inlineStr">
        <is>
          <t>This Week</t>
        </is>
      </c>
      <c r="M4" s="94" t="inlineStr">
        <is>
          <t>Prior Week</t>
        </is>
      </c>
      <c r="N4" s="95" t="inlineStr">
        <is>
          <t>Δ %</t>
        </is>
      </c>
      <c r="O4" s="96" t="inlineStr">
        <is>
          <t>This Week</t>
        </is>
      </c>
      <c r="P4" s="97" t="inlineStr">
        <is>
          <t>Prior Week</t>
        </is>
      </c>
      <c r="Q4" s="98" t="inlineStr">
        <is>
          <t>Δ %</t>
        </is>
      </c>
      <c r="R4" s="99" t="inlineStr">
        <is>
          <t>This Week</t>
        </is>
      </c>
      <c r="S4" s="100" t="inlineStr">
        <is>
          <t>Prior Week</t>
        </is>
      </c>
      <c r="T4" s="101" t="inlineStr">
        <is>
          <t>Δ %</t>
        </is>
      </c>
      <c r="U4" s="102" t="inlineStr">
        <is>
          <t>This Week</t>
        </is>
      </c>
      <c r="V4" s="103" t="inlineStr">
        <is>
          <t>Prior Week</t>
        </is>
      </c>
      <c r="W4" s="104" t="inlineStr">
        <is>
          <t>Δ %</t>
        </is>
      </c>
      <c r="X4" s="105" t="inlineStr">
        <is>
          <t>This Week</t>
        </is>
      </c>
      <c r="Y4" s="106" t="inlineStr">
        <is>
          <t>Prior Week</t>
        </is>
      </c>
      <c r="Z4" s="107" t="inlineStr">
        <is>
          <t>Δ %</t>
        </is>
      </c>
      <c r="AA4" s="108" t="inlineStr">
        <is>
          <t>Δ %</t>
        </is>
      </c>
    </row>
    <row r="5" ht="17" customHeight="1">
      <c r="A5" s="109" t="inlineStr">
        <is>
          <t>Norse Tradesman Horn Tankard</t>
        </is>
      </c>
      <c r="B5" s="110" t="inlineStr">
        <is>
          <t>B0CSGXT2X2</t>
        </is>
      </c>
      <c r="C5" s="111" t="n">
        <v>4083.95</v>
      </c>
      <c r="D5" s="112" t="n">
        <v>4253.56</v>
      </c>
      <c r="E5" s="113" t="n">
        <v>-3.987483425648176</v>
      </c>
      <c r="F5" s="114" t="n">
        <v>85</v>
      </c>
      <c r="G5" s="115" t="n">
        <v>88</v>
      </c>
      <c r="H5" s="116" t="n">
        <v>-3.409090909090909</v>
      </c>
      <c r="I5" s="117" t="n">
        <v>2984</v>
      </c>
      <c r="J5" s="118" t="n">
        <v>2656</v>
      </c>
      <c r="K5" s="119" t="n">
        <v>12.34939759036144</v>
      </c>
      <c r="L5" s="120" t="n">
        <v>2.85</v>
      </c>
      <c r="M5" s="121" t="n">
        <v>3.31</v>
      </c>
      <c r="N5" s="122" t="n">
        <v>-13.89728096676737</v>
      </c>
      <c r="O5" s="123" t="n">
        <v>12.83</v>
      </c>
      <c r="P5" s="124" t="n">
        <v>10.49</v>
      </c>
      <c r="Q5" s="125" t="n">
        <v>22.3069590085796</v>
      </c>
      <c r="R5" s="126" t="n">
        <v>570.1799999999999</v>
      </c>
      <c r="S5" s="127" t="n">
        <v>295.09</v>
      </c>
      <c r="T5" s="128" t="n">
        <v>93.22240672337253</v>
      </c>
      <c r="U5" s="129" t="n">
        <v>3513.77</v>
      </c>
      <c r="V5" s="130" t="n">
        <v>3958.47</v>
      </c>
      <c r="W5" s="131" t="n">
        <v>-11.23413844237799</v>
      </c>
      <c r="X5" s="132" t="n">
        <v>524.01</v>
      </c>
      <c r="Y5" s="133" t="n">
        <v>446.02</v>
      </c>
      <c r="Z5" s="134" t="n">
        <v>17.48576297027039</v>
      </c>
      <c r="AA5" s="135" t="n">
        <v>8.638839657442169</v>
      </c>
    </row>
    <row r="6" ht="17" customHeight="1">
      <c r="A6" s="136" t="inlineStr">
        <is>
          <t>Norse Tradesman Viking Blow Horn - Deep Sound - Polishe…</t>
        </is>
      </c>
      <c r="B6" s="137" t="inlineStr">
        <is>
          <t>B0CGXQ2HRK</t>
        </is>
      </c>
      <c r="C6" s="138" t="n">
        <v>2064.71</v>
      </c>
      <c r="D6" s="139" t="n">
        <v>3335.89</v>
      </c>
      <c r="E6" s="140" t="n">
        <v>-38.10617256564215</v>
      </c>
      <c r="F6" s="141" t="n">
        <v>33</v>
      </c>
      <c r="G6" s="142" t="n">
        <v>47</v>
      </c>
      <c r="H6" s="143" t="n">
        <v>-29.78723404255319</v>
      </c>
      <c r="I6" s="144" t="n">
        <v>1343</v>
      </c>
      <c r="J6" s="145" t="n">
        <v>1434</v>
      </c>
      <c r="K6" s="146" t="n">
        <v>-6.345885634588563</v>
      </c>
      <c r="L6" s="147" t="n">
        <v>2.46</v>
      </c>
      <c r="M6" s="148" t="n">
        <v>3.28</v>
      </c>
      <c r="N6" s="149" t="n">
        <v>-25</v>
      </c>
      <c r="O6" s="150" t="n">
        <v>10.94</v>
      </c>
      <c r="P6" s="151" t="n">
        <v>7.94</v>
      </c>
      <c r="Q6" s="152" t="n">
        <v>37.78337531486145</v>
      </c>
      <c r="R6" s="153" t="n">
        <v>656.5700000000001</v>
      </c>
      <c r="S6" s="154" t="n">
        <v>912.1799999999999</v>
      </c>
      <c r="T6" s="155" t="n">
        <v>-28.02188164616632</v>
      </c>
      <c r="U6" s="156" t="n">
        <v>1408.14</v>
      </c>
      <c r="V6" s="157" t="n">
        <v>2423.71</v>
      </c>
      <c r="W6" s="158" t="n">
        <v>-41.90146510927462</v>
      </c>
      <c r="X6" s="159" t="n">
        <v>225.79</v>
      </c>
      <c r="Y6" s="160" t="n">
        <v>264.8</v>
      </c>
      <c r="Z6" s="161" t="n">
        <v>-14.73187311178248</v>
      </c>
      <c r="AA6" s="162" t="n">
        <v>-35.10005934938239</v>
      </c>
    </row>
    <row r="7" ht="17" customHeight="1">
      <c r="A7" s="109" t="inlineStr">
        <is>
          <t>Norse Tradesman Handcrafted Ox-Horn Viking Drinking Hor…</t>
        </is>
      </c>
      <c r="B7" s="110" t="inlineStr">
        <is>
          <t>B0FVGC9Z8F</t>
        </is>
      </c>
      <c r="C7" s="111" t="n">
        <v>1092.88</v>
      </c>
      <c r="D7" s="112" t="n">
        <v>1429.62</v>
      </c>
      <c r="E7" s="113" t="n">
        <v>-23.55451098893411</v>
      </c>
      <c r="F7" s="114" t="n">
        <v>24</v>
      </c>
      <c r="G7" s="115" t="n">
        <v>26</v>
      </c>
      <c r="H7" s="116" t="n">
        <v>-7.692307692307693</v>
      </c>
      <c r="I7" s="117" t="n">
        <v>927</v>
      </c>
      <c r="J7" s="118" t="n">
        <v>895</v>
      </c>
      <c r="K7" s="119" t="n">
        <v>3.575418994413408</v>
      </c>
      <c r="L7" s="120" t="n">
        <v>2.59</v>
      </c>
      <c r="M7" s="121" t="n">
        <v>2.91</v>
      </c>
      <c r="N7" s="122" t="n">
        <v>-10.99656357388317</v>
      </c>
      <c r="O7" s="123" t="n">
        <v>24.76</v>
      </c>
      <c r="P7" s="124" t="n">
        <v>15.49</v>
      </c>
      <c r="Q7" s="125" t="n">
        <v>59.84506132989026</v>
      </c>
      <c r="R7" s="126" t="n">
        <v>328.96</v>
      </c>
      <c r="S7" s="127" t="n">
        <v>348.22</v>
      </c>
      <c r="T7" s="163" t="n">
        <v>-5.530986158175879</v>
      </c>
      <c r="U7" s="129" t="n">
        <v>763.92</v>
      </c>
      <c r="V7" s="130" t="n">
        <v>1081.4</v>
      </c>
      <c r="W7" s="131" t="n">
        <v>-29.35823931940079</v>
      </c>
      <c r="X7" s="132" t="n">
        <v>270.57</v>
      </c>
      <c r="Y7" s="133" t="n">
        <v>221.41</v>
      </c>
      <c r="Z7" s="134" t="n">
        <v>22.20315252246962</v>
      </c>
      <c r="AA7" s="164" t="n">
        <v>-31.31659554415268</v>
      </c>
    </row>
    <row r="8" ht="17" customHeight="1">
      <c r="A8" s="136" t="inlineStr">
        <is>
          <t>Norse Tradesman Spring Steel Viking Sword</t>
        </is>
      </c>
      <c r="B8" s="137" t="inlineStr">
        <is>
          <t>B0CR4JJ9W8</t>
        </is>
      </c>
      <c r="C8" s="138" t="n">
        <v>539.61</v>
      </c>
      <c r="D8" s="139" t="n">
        <v>359.74</v>
      </c>
      <c r="E8" s="165" t="n">
        <v>50</v>
      </c>
      <c r="F8" s="141" t="n">
        <v>3</v>
      </c>
      <c r="G8" s="142" t="n">
        <v>2</v>
      </c>
      <c r="H8" s="166" t="n">
        <v>50</v>
      </c>
      <c r="I8" s="144" t="n">
        <v>538</v>
      </c>
      <c r="J8" s="145" t="n">
        <v>570</v>
      </c>
      <c r="K8" s="146" t="n">
        <v>-5.614035087719298</v>
      </c>
      <c r="L8" s="147" t="n">
        <v>0.5600000000000001</v>
      </c>
      <c r="M8" s="148" t="n">
        <v>0.35</v>
      </c>
      <c r="N8" s="167" t="n">
        <v>60.00000000000002</v>
      </c>
      <c r="O8" s="150" t="n">
        <v>10.51</v>
      </c>
      <c r="P8" s="151" t="n">
        <v>18.24</v>
      </c>
      <c r="Q8" s="168" t="n">
        <v>-42.37938596491227</v>
      </c>
      <c r="R8" s="153" t="n">
        <v>179.87</v>
      </c>
      <c r="S8" s="154" t="n">
        <v>179.87</v>
      </c>
      <c r="T8" s="169" t="n">
        <v>0</v>
      </c>
      <c r="U8" s="156" t="n">
        <v>359.74</v>
      </c>
      <c r="V8" s="157" t="n">
        <v>179.87</v>
      </c>
      <c r="W8" s="170" t="n">
        <v>100</v>
      </c>
      <c r="X8" s="159" t="n">
        <v>56.69</v>
      </c>
      <c r="Y8" s="160" t="n">
        <v>65.63</v>
      </c>
      <c r="Z8" s="161" t="n">
        <v>-13.62181928995886</v>
      </c>
      <c r="AA8" s="171" t="n">
        <v>2.301428065620209</v>
      </c>
    </row>
    <row r="9" ht="17" customHeight="1">
      <c r="A9" s="109" t="inlineStr">
        <is>
          <t>Norse Tradesman Genuine Shot Glass Set</t>
        </is>
      </c>
      <c r="B9" s="110" t="inlineStr">
        <is>
          <t>B09861G7NW</t>
        </is>
      </c>
      <c r="C9" s="111" t="n">
        <v>522.96</v>
      </c>
      <c r="D9" s="112" t="n">
        <v>89.73999999999999</v>
      </c>
      <c r="E9" s="172" t="n">
        <v>482.7501671495431</v>
      </c>
      <c r="F9" s="114" t="n">
        <v>8</v>
      </c>
      <c r="G9" s="115" t="n">
        <v>2</v>
      </c>
      <c r="H9" s="173" t="n">
        <v>300</v>
      </c>
      <c r="I9" s="117" t="n">
        <v>340</v>
      </c>
      <c r="J9" s="118" t="n">
        <v>275</v>
      </c>
      <c r="K9" s="119" t="n">
        <v>23.63636363636364</v>
      </c>
      <c r="L9" s="120" t="n">
        <v>2.35</v>
      </c>
      <c r="M9" s="121" t="n">
        <v>0.73</v>
      </c>
      <c r="N9" s="174" t="n">
        <v>221.9178082191781</v>
      </c>
      <c r="O9" s="123" t="n">
        <v>15.25</v>
      </c>
      <c r="P9" s="124" t="n">
        <v>72.5</v>
      </c>
      <c r="Q9" s="175" t="n">
        <v>-78.96551724137932</v>
      </c>
      <c r="R9" s="126" t="n">
        <v>412.35</v>
      </c>
      <c r="S9" s="127" t="n">
        <v>74.73999999999999</v>
      </c>
      <c r="T9" s="128" t="n">
        <v>451.7126036928017</v>
      </c>
      <c r="U9" s="129" t="n">
        <v>110.61</v>
      </c>
      <c r="V9" s="130" t="n">
        <v>15</v>
      </c>
      <c r="W9" s="176" t="n">
        <v>637.4</v>
      </c>
      <c r="X9" s="132" t="n">
        <v>79.75</v>
      </c>
      <c r="Y9" s="133" t="n">
        <v>65.06</v>
      </c>
      <c r="Z9" s="134" t="n">
        <v>22.57915770058407</v>
      </c>
      <c r="AA9" s="135" t="n">
        <v>276.3938315539739</v>
      </c>
    </row>
    <row r="10" ht="17" customHeight="1">
      <c r="A10" s="136" t="inlineStr">
        <is>
          <t>Norse Tradesman Viking Axe Carbon Steel Axe Head &amp; Teak…</t>
        </is>
      </c>
      <c r="B10" s="137" t="inlineStr">
        <is>
          <t>B0CKCGNNKK</t>
        </is>
      </c>
      <c r="C10" s="138" t="n">
        <v>419.61</v>
      </c>
      <c r="D10" s="139" t="n">
        <v>272.74</v>
      </c>
      <c r="E10" s="165" t="n">
        <v>53.84982034171739</v>
      </c>
      <c r="F10" s="141" t="n">
        <v>3</v>
      </c>
      <c r="G10" s="142" t="n">
        <v>2</v>
      </c>
      <c r="H10" s="166" t="n">
        <v>50</v>
      </c>
      <c r="I10" s="144" t="n">
        <v>339</v>
      </c>
      <c r="J10" s="145" t="n">
        <v>416</v>
      </c>
      <c r="K10" s="146" t="n">
        <v>-18.50961538461539</v>
      </c>
      <c r="L10" s="147" t="n">
        <v>0.88</v>
      </c>
      <c r="M10" s="148" t="n">
        <v>0.48</v>
      </c>
      <c r="N10" s="167" t="n">
        <v>83.33333333333334</v>
      </c>
      <c r="O10" s="150" t="n">
        <v>9.52</v>
      </c>
      <c r="P10" s="151" t="n">
        <v>16.36</v>
      </c>
      <c r="Q10" s="168" t="n">
        <v>-41.80929095354523</v>
      </c>
      <c r="R10" s="153" t="n">
        <v>0</v>
      </c>
      <c r="S10" s="154" t="n">
        <v>0</v>
      </c>
      <c r="T10" s="177" t="n"/>
      <c r="U10" s="156" t="n">
        <v/>
      </c>
      <c r="V10" s="157" t="n">
        <v/>
      </c>
      <c r="W10" s="158" t="n">
        <v/>
      </c>
      <c r="X10" s="159" t="n">
        <v>39.93</v>
      </c>
      <c r="Y10" s="160" t="n">
        <v>44.63</v>
      </c>
      <c r="Z10" s="161" t="n">
        <v>-10.531032937486</v>
      </c>
      <c r="AA10" s="162" t="n">
        <v>-74.1929560395167</v>
      </c>
    </row>
    <row r="11" ht="17" customHeight="1">
      <c r="A11" s="109" t="inlineStr">
        <is>
          <t>Handmade Genuine Leather Axe Holster with Belt Loop - f…</t>
        </is>
      </c>
      <c r="B11" s="110" t="inlineStr">
        <is>
          <t>B07Y42JX83</t>
        </is>
      </c>
      <c r="C11" s="111" t="n">
        <v>238.44</v>
      </c>
      <c r="D11" s="112" t="n">
        <v>119.22</v>
      </c>
      <c r="E11" s="172" t="n">
        <v>100</v>
      </c>
      <c r="F11" s="114" t="n">
        <v>12</v>
      </c>
      <c r="G11" s="115" t="n">
        <v>6</v>
      </c>
      <c r="H11" s="173" t="n">
        <v>100</v>
      </c>
      <c r="I11" s="117" t="n">
        <v>155</v>
      </c>
      <c r="J11" s="118" t="n">
        <v>150</v>
      </c>
      <c r="K11" s="119" t="n">
        <v>3.333333333333333</v>
      </c>
      <c r="L11" s="120" t="n">
        <v>7.74</v>
      </c>
      <c r="M11" s="121" t="n">
        <v>4</v>
      </c>
      <c r="N11" s="174" t="n">
        <v>93.5</v>
      </c>
      <c r="O11" s="123" t="n">
        <v>14.15</v>
      </c>
      <c r="P11" s="124" t="n">
        <v>25.67</v>
      </c>
      <c r="Q11" s="175" t="n">
        <v>-44.87728866380989</v>
      </c>
      <c r="R11" s="126" t="n">
        <v>79.48</v>
      </c>
      <c r="S11" s="127" t="n">
        <v>59.61</v>
      </c>
      <c r="T11" s="128" t="n">
        <v>33.33333333333334</v>
      </c>
      <c r="U11" s="129" t="n">
        <v>158.96</v>
      </c>
      <c r="V11" s="130" t="n">
        <v>59.61</v>
      </c>
      <c r="W11" s="176" t="n">
        <v>166.6666666666667</v>
      </c>
      <c r="X11" s="132" t="n">
        <v>33.75</v>
      </c>
      <c r="Y11" s="133" t="n">
        <v>30.6</v>
      </c>
      <c r="Z11" s="134" t="n">
        <v>10.29411764705882</v>
      </c>
      <c r="AA11" s="135" t="n">
        <v>210.0857142857143</v>
      </c>
    </row>
    <row r="12" ht="17" customHeight="1">
      <c r="A12" s="136" t="inlineStr">
        <is>
          <t>Norse Tradesman Wooden Tankard</t>
        </is>
      </c>
      <c r="B12" s="137" t="inlineStr">
        <is>
          <t>B08P4GYJX7</t>
        </is>
      </c>
      <c r="C12" s="138" t="n">
        <v>188.61</v>
      </c>
      <c r="D12" s="139" t="n">
        <v>174.61</v>
      </c>
      <c r="E12" s="165" t="n">
        <v>8.017868392417386</v>
      </c>
      <c r="F12" s="141" t="n">
        <v>3</v>
      </c>
      <c r="G12" s="142" t="n">
        <v>3</v>
      </c>
      <c r="H12" s="166" t="n">
        <v>0</v>
      </c>
      <c r="I12" s="144" t="n">
        <v>125</v>
      </c>
      <c r="J12" s="145" t="n">
        <v>120</v>
      </c>
      <c r="K12" s="178" t="n">
        <v>4.166666666666666</v>
      </c>
      <c r="L12" s="147" t="n">
        <v>2.4</v>
      </c>
      <c r="M12" s="148" t="n">
        <v>2.5</v>
      </c>
      <c r="N12" s="149" t="n">
        <v>-4.000000000000004</v>
      </c>
      <c r="O12" s="150" t="n">
        <v>11.43</v>
      </c>
      <c r="P12" s="151" t="n">
        <v>12.34</v>
      </c>
      <c r="Q12" s="168" t="n">
        <v>-7.374392220421395</v>
      </c>
      <c r="R12" s="153" t="n">
        <v>122.74</v>
      </c>
      <c r="S12" s="154" t="n">
        <v>62.87</v>
      </c>
      <c r="T12" s="169" t="n">
        <v>95.2282487672976</v>
      </c>
      <c r="U12" s="156" t="n">
        <v>65.87</v>
      </c>
      <c r="V12" s="157" t="n">
        <v>111.74</v>
      </c>
      <c r="W12" s="158" t="n">
        <v>-41.05065330230892</v>
      </c>
      <c r="X12" s="159" t="n">
        <v>21.56</v>
      </c>
      <c r="Y12" s="160" t="n">
        <v>21.55</v>
      </c>
      <c r="Z12" s="179" t="n">
        <v>0.04640371229697453</v>
      </c>
      <c r="AA12" s="162" t="n">
        <v>-23.02126726595045</v>
      </c>
    </row>
    <row r="13" ht="17" customHeight="1">
      <c r="A13" s="109" t="inlineStr">
        <is>
          <t>Premium Leather Drinking Horn Belt Holster - Adjustable…</t>
        </is>
      </c>
      <c r="B13" s="110" t="inlineStr">
        <is>
          <t>B07Y41KPJV</t>
        </is>
      </c>
      <c r="C13" s="111" t="n">
        <v>151.83</v>
      </c>
      <c r="D13" s="112" t="n">
        <v>33.74</v>
      </c>
      <c r="E13" s="172" t="n">
        <v>350</v>
      </c>
      <c r="F13" s="114" t="n">
        <v>9</v>
      </c>
      <c r="G13" s="115" t="n">
        <v>2</v>
      </c>
      <c r="H13" s="173" t="n">
        <v>350</v>
      </c>
      <c r="I13" s="117" t="n">
        <v>46</v>
      </c>
      <c r="J13" s="118" t="n">
        <v>32</v>
      </c>
      <c r="K13" s="119" t="n">
        <v>43.75</v>
      </c>
      <c r="L13" s="120" t="n">
        <v>19.57</v>
      </c>
      <c r="M13" s="121" t="n">
        <v>6.25</v>
      </c>
      <c r="N13" s="174" t="n">
        <v>213.12</v>
      </c>
      <c r="O13" s="123" t="n">
        <v>6.82</v>
      </c>
      <c r="P13" s="124" t="n">
        <v>21.67</v>
      </c>
      <c r="Q13" s="175" t="n">
        <v>-68.52791878172589</v>
      </c>
      <c r="R13" s="126" t="n">
        <v>50.61</v>
      </c>
      <c r="S13" s="127" t="n">
        <v>33.74</v>
      </c>
      <c r="T13" s="128" t="n">
        <v>49.99999999999999</v>
      </c>
      <c r="U13" s="129" t="n">
        <v>101.22</v>
      </c>
      <c r="V13" s="130" t="n">
        <v/>
      </c>
      <c r="W13" s="131" t="n">
        <v/>
      </c>
      <c r="X13" s="132" t="n">
        <v>10.36</v>
      </c>
      <c r="Y13" s="133" t="n">
        <v>7.31</v>
      </c>
      <c r="Z13" s="134" t="n">
        <v>41.72366621067031</v>
      </c>
      <c r="AA13" s="135" t="n">
        <v>209.0602138435566</v>
      </c>
    </row>
    <row r="14" ht="17" customHeight="1">
      <c r="A14" s="136" t="inlineStr">
        <is>
          <t>Norse Tradesman Viking Bone Pendant - Hard-Carved Norse…</t>
        </is>
      </c>
      <c r="B14" s="137" t="inlineStr">
        <is>
          <t>B07V9V6L6K</t>
        </is>
      </c>
      <c r="C14" s="138" t="n">
        <v>139.09</v>
      </c>
      <c r="D14" s="139" t="n">
        <v>139.09</v>
      </c>
      <c r="E14" s="165" t="n">
        <v>0</v>
      </c>
      <c r="F14" s="141" t="n">
        <v>7</v>
      </c>
      <c r="G14" s="142" t="n">
        <v>7</v>
      </c>
      <c r="H14" s="166" t="n">
        <v>0</v>
      </c>
      <c r="I14" s="144" t="n">
        <v>76</v>
      </c>
      <c r="J14" s="145" t="n">
        <v>80</v>
      </c>
      <c r="K14" s="146" t="n">
        <v>-5</v>
      </c>
      <c r="L14" s="147" t="n">
        <v>9.210000000000001</v>
      </c>
      <c r="M14" s="148" t="n">
        <v>8.75</v>
      </c>
      <c r="N14" s="167" t="n">
        <v>5.257142857142867</v>
      </c>
      <c r="O14" s="150" t="n">
        <v>29.02</v>
      </c>
      <c r="P14" s="151" t="n">
        <v>26.69</v>
      </c>
      <c r="Q14" s="152" t="n">
        <v>8.729861371300105</v>
      </c>
      <c r="R14" s="153" t="n">
        <v>99.34999999999999</v>
      </c>
      <c r="S14" s="154" t="n">
        <v>39.74</v>
      </c>
      <c r="T14" s="169" t="n">
        <v>150</v>
      </c>
      <c r="U14" s="156" t="n">
        <v>39.74</v>
      </c>
      <c r="V14" s="157" t="n">
        <v>99.34999999999999</v>
      </c>
      <c r="W14" s="158" t="n">
        <v>-60</v>
      </c>
      <c r="X14" s="159" t="n">
        <v>40.37</v>
      </c>
      <c r="Y14" s="160" t="n">
        <v>37.13</v>
      </c>
      <c r="Z14" s="179" t="n">
        <v>8.726097495286815</v>
      </c>
      <c r="AA14" s="162" t="n">
        <v>-64.09050179211469</v>
      </c>
    </row>
    <row r="15" ht="17" customHeight="1">
      <c r="A15" s="109" t="inlineStr">
        <is>
          <t>Norse Tradesman Authentic Viking Bone Comb for Beard an…</t>
        </is>
      </c>
      <c r="B15" s="110" t="inlineStr">
        <is>
          <t>B07RV2L1S3</t>
        </is>
      </c>
      <c r="C15" s="111" t="n">
        <v>131.48</v>
      </c>
      <c r="D15" s="112" t="n">
        <v>98.61</v>
      </c>
      <c r="E15" s="172" t="n">
        <v>33.33333333333333</v>
      </c>
      <c r="F15" s="114" t="n">
        <v>4</v>
      </c>
      <c r="G15" s="115" t="n">
        <v>3</v>
      </c>
      <c r="H15" s="173" t="n">
        <v>33.33333333333333</v>
      </c>
      <c r="I15" s="117" t="n">
        <v>61</v>
      </c>
      <c r="J15" s="118" t="n">
        <v>46</v>
      </c>
      <c r="K15" s="119" t="n">
        <v>32.60869565217391</v>
      </c>
      <c r="L15" s="120" t="n">
        <v>6.56</v>
      </c>
      <c r="M15" s="121" t="n">
        <v>6.52</v>
      </c>
      <c r="N15" s="174" t="n">
        <v>0.6134969325153381</v>
      </c>
      <c r="O15" s="123" t="n">
        <v>11.2</v>
      </c>
      <c r="P15" s="124" t="n">
        <v>12.09</v>
      </c>
      <c r="Q15" s="175" t="n">
        <v>-7.361455748552527</v>
      </c>
      <c r="R15" s="126" t="n">
        <v>32.87</v>
      </c>
      <c r="S15" s="127" t="n">
        <v>32.87</v>
      </c>
      <c r="T15" s="128" t="n">
        <v>0</v>
      </c>
      <c r="U15" s="129" t="n">
        <v>98.61</v>
      </c>
      <c r="V15" s="130" t="n">
        <v>65.73999999999999</v>
      </c>
      <c r="W15" s="176" t="n">
        <v>50.00000000000001</v>
      </c>
      <c r="X15" s="132" t="n">
        <v>14.72</v>
      </c>
      <c r="Y15" s="133" t="n">
        <v>11.92</v>
      </c>
      <c r="Z15" s="134" t="n">
        <v>23.48993288590605</v>
      </c>
      <c r="AA15" s="135" t="n">
        <v>166.4784756527876</v>
      </c>
    </row>
    <row r="16" ht="17" customHeight="1">
      <c r="A16" s="136" t="inlineStr">
        <is>
          <t>Viking Rune Beard Bead Coil Set (8-Pack) - Norse Rings …</t>
        </is>
      </c>
      <c r="B16" s="137" t="inlineStr">
        <is>
          <t>B07D6R1WZH</t>
        </is>
      </c>
      <c r="C16" s="138" t="n">
        <v>118.96</v>
      </c>
      <c r="D16" s="139" t="n">
        <v>118.96</v>
      </c>
      <c r="E16" s="165" t="n">
        <v>0</v>
      </c>
      <c r="F16" s="141" t="n">
        <v>8</v>
      </c>
      <c r="G16" s="142" t="n">
        <v>8</v>
      </c>
      <c r="H16" s="166" t="n">
        <v>0</v>
      </c>
      <c r="I16" s="144" t="n">
        <v>242</v>
      </c>
      <c r="J16" s="145" t="n">
        <v>228</v>
      </c>
      <c r="K16" s="178" t="n">
        <v>6.140350877192982</v>
      </c>
      <c r="L16" s="147" t="n">
        <v>3.31</v>
      </c>
      <c r="M16" s="148" t="n">
        <v>3.51</v>
      </c>
      <c r="N16" s="149" t="n">
        <v>-5.698005698005691</v>
      </c>
      <c r="O16" s="150" t="n">
        <v>25.74</v>
      </c>
      <c r="P16" s="151" t="n">
        <v>24.24</v>
      </c>
      <c r="Q16" s="152" t="n">
        <v>6.188118811881189</v>
      </c>
      <c r="R16" s="153" t="n">
        <v>74.34999999999999</v>
      </c>
      <c r="S16" s="154" t="n">
        <v>14.87</v>
      </c>
      <c r="T16" s="169" t="n">
        <v>400</v>
      </c>
      <c r="U16" s="156" t="n">
        <v>44.61</v>
      </c>
      <c r="V16" s="157" t="n">
        <v>104.09</v>
      </c>
      <c r="W16" s="158" t="n">
        <v>-57.14285714285714</v>
      </c>
      <c r="X16" s="159" t="n">
        <v>30.62</v>
      </c>
      <c r="Y16" s="160" t="n">
        <v>28.83</v>
      </c>
      <c r="Z16" s="179" t="n">
        <v>6.208810267082909</v>
      </c>
      <c r="AA16" s="162" t="n">
        <v>-12.65625</v>
      </c>
    </row>
    <row r="17" ht="17" customHeight="1">
      <c r="A17" s="109" t="inlineStr">
        <is>
          <t>Handcarved Wooden Kuksa Cup - Scandinavian Bushcraft Bo…</t>
        </is>
      </c>
      <c r="B17" s="110" t="inlineStr">
        <is>
          <t>B0979HSDTT</t>
        </is>
      </c>
      <c r="C17" s="111" t="n">
        <v>110.61</v>
      </c>
      <c r="D17" s="112" t="n">
        <v>73.73999999999999</v>
      </c>
      <c r="E17" s="172" t="n">
        <v>50.00000000000001</v>
      </c>
      <c r="F17" s="114" t="n">
        <v>3</v>
      </c>
      <c r="G17" s="115" t="n">
        <v>2</v>
      </c>
      <c r="H17" s="173" t="n">
        <v>50</v>
      </c>
      <c r="I17" s="117" t="n">
        <v>71</v>
      </c>
      <c r="J17" s="118" t="n">
        <v>85</v>
      </c>
      <c r="K17" s="180" t="n">
        <v>-16.47058823529412</v>
      </c>
      <c r="L17" s="120" t="n">
        <v>4.23</v>
      </c>
      <c r="M17" s="121" t="n">
        <v>2.35</v>
      </c>
      <c r="N17" s="174" t="n">
        <v>80.00000000000001</v>
      </c>
      <c r="O17" s="123" t="n">
        <v>10.19</v>
      </c>
      <c r="P17" s="124" t="n">
        <v>17.45</v>
      </c>
      <c r="Q17" s="175" t="n">
        <v>-41.60458452722063</v>
      </c>
      <c r="R17" s="126" t="n">
        <v>0</v>
      </c>
      <c r="S17" s="127" t="n">
        <v>73.73999999999999</v>
      </c>
      <c r="T17" s="163" t="n">
        <v>-100</v>
      </c>
      <c r="U17" s="129" t="n">
        <v/>
      </c>
      <c r="V17" s="130" t="n">
        <v/>
      </c>
      <c r="W17" s="131" t="n">
        <v/>
      </c>
      <c r="X17" s="132" t="n">
        <v>11.27</v>
      </c>
      <c r="Y17" s="133" t="n">
        <v>12.87</v>
      </c>
      <c r="Z17" s="181" t="n">
        <v>-12.43201243201243</v>
      </c>
      <c r="AA17" s="135" t="n">
        <v>698.4776403425309</v>
      </c>
    </row>
    <row r="18" ht="17" customHeight="1">
      <c r="A18" s="136" t="inlineStr">
        <is>
          <t>Norse Tradesman Wolf Beard Bead Coils (8-Pack) - Viking…</t>
        </is>
      </c>
      <c r="B18" s="137" t="inlineStr">
        <is>
          <t>B07RQ6QQ5V</t>
        </is>
      </c>
      <c r="C18" s="138" t="n">
        <v>74.34999999999999</v>
      </c>
      <c r="D18" s="139" t="n">
        <v>74.34999999999999</v>
      </c>
      <c r="E18" s="165" t="n">
        <v>0</v>
      </c>
      <c r="F18" s="141" t="n">
        <v>5</v>
      </c>
      <c r="G18" s="142" t="n">
        <v>5</v>
      </c>
      <c r="H18" s="166" t="n">
        <v>0</v>
      </c>
      <c r="I18" s="144" t="n">
        <v>185</v>
      </c>
      <c r="J18" s="145" t="n">
        <v>157</v>
      </c>
      <c r="K18" s="178" t="n">
        <v>17.8343949044586</v>
      </c>
      <c r="L18" s="147" t="n">
        <v>2.7</v>
      </c>
      <c r="M18" s="148" t="n">
        <v>3.18</v>
      </c>
      <c r="N18" s="149" t="n">
        <v>-15.09433962264151</v>
      </c>
      <c r="O18" s="150" t="n">
        <v>43.03</v>
      </c>
      <c r="P18" s="151" t="n">
        <v>32.37</v>
      </c>
      <c r="Q18" s="152" t="n">
        <v>32.93172690763054</v>
      </c>
      <c r="R18" s="153" t="n">
        <v>44.61</v>
      </c>
      <c r="S18" s="154" t="n">
        <v>44.61</v>
      </c>
      <c r="T18" s="169" t="n">
        <v>0</v>
      </c>
      <c r="U18" s="156" t="n">
        <v>29.74</v>
      </c>
      <c r="V18" s="157" t="n">
        <v>29.74</v>
      </c>
      <c r="W18" s="170" t="n">
        <v>0</v>
      </c>
      <c r="X18" s="159" t="n">
        <v>31.99</v>
      </c>
      <c r="Y18" s="160" t="n">
        <v>24.07</v>
      </c>
      <c r="Z18" s="179" t="n">
        <v>32.90402991275446</v>
      </c>
      <c r="AA18" s="162" t="n">
        <v>-165.2985074626866</v>
      </c>
    </row>
    <row r="19" ht="17" customHeight="1">
      <c r="A19" s="109" t="inlineStr">
        <is>
          <t>Norse Tradesman Viking Bracelet - Semi-Adjustable Bangl…</t>
        </is>
      </c>
      <c r="B19" s="110" t="inlineStr">
        <is>
          <t>B0CRZGVTCT</t>
        </is>
      </c>
      <c r="C19" s="111" t="n">
        <v>59.48</v>
      </c>
      <c r="D19" s="112" t="n">
        <v>89.22</v>
      </c>
      <c r="E19" s="113" t="n">
        <v>-33.33333333333334</v>
      </c>
      <c r="F19" s="114" t="n">
        <v>4</v>
      </c>
      <c r="G19" s="115" t="n">
        <v>6</v>
      </c>
      <c r="H19" s="116" t="n">
        <v>-33.33333333333333</v>
      </c>
      <c r="I19" s="117" t="n">
        <v>99</v>
      </c>
      <c r="J19" s="118" t="n">
        <v>98</v>
      </c>
      <c r="K19" s="119" t="n">
        <v>1.020408163265306</v>
      </c>
      <c r="L19" s="120" t="n">
        <v>4.04</v>
      </c>
      <c r="M19" s="121" t="n">
        <v>6.12</v>
      </c>
      <c r="N19" s="122" t="n">
        <v>-33.98692810457516</v>
      </c>
      <c r="O19" s="123" t="n">
        <v>1.65</v>
      </c>
      <c r="P19" s="124" t="n">
        <v>0.74</v>
      </c>
      <c r="Q19" s="125" t="n">
        <v>122.972972972973</v>
      </c>
      <c r="R19" s="126" t="n">
        <v>0</v>
      </c>
      <c r="S19" s="127" t="n">
        <v>14.87</v>
      </c>
      <c r="T19" s="163" t="n">
        <v>-100</v>
      </c>
      <c r="U19" s="129" t="n">
        <v/>
      </c>
      <c r="V19" s="130" t="n">
        <v>74.34999999999999</v>
      </c>
      <c r="W19" s="131" t="n">
        <v/>
      </c>
      <c r="X19" s="132" t="n">
        <v>0.98</v>
      </c>
      <c r="Y19" s="133" t="n">
        <v>0.66</v>
      </c>
      <c r="Z19" s="134" t="n">
        <v>48.48484848484848</v>
      </c>
      <c r="AA19" s="164" t="n">
        <v>-9.681639773222846</v>
      </c>
    </row>
    <row r="20" ht="17" customHeight="1">
      <c r="A20" s="136" t="inlineStr">
        <is>
          <t>Norse Tradesman Handcrafted Wooden Drinking Horn Stand …</t>
        </is>
      </c>
      <c r="B20" s="137" t="inlineStr">
        <is>
          <t>B07X49ZD57</t>
        </is>
      </c>
      <c r="C20" s="138" t="n">
        <v>47.61</v>
      </c>
      <c r="D20" s="139" t="n">
        <v>111.09</v>
      </c>
      <c r="E20" s="140" t="n">
        <v>-57.14285714285714</v>
      </c>
      <c r="F20" s="141" t="n">
        <v>3</v>
      </c>
      <c r="G20" s="142" t="n">
        <v>7</v>
      </c>
      <c r="H20" s="143" t="n">
        <v>-57.14285714285714</v>
      </c>
      <c r="I20" s="144" t="n">
        <v>25</v>
      </c>
      <c r="J20" s="145" t="n">
        <v>29</v>
      </c>
      <c r="K20" s="146" t="n">
        <v>-13.79310344827586</v>
      </c>
      <c r="L20" s="147" t="n">
        <v>12</v>
      </c>
      <c r="M20" s="148" t="n">
        <v>24.14</v>
      </c>
      <c r="N20" s="149" t="n">
        <v>-50.28997514498757</v>
      </c>
      <c r="O20" s="150" t="n">
        <v>23.27</v>
      </c>
      <c r="P20" s="151" t="n">
        <v>14.22</v>
      </c>
      <c r="Q20" s="152" t="n">
        <v>63.64275668073135</v>
      </c>
      <c r="R20" s="153" t="n">
        <v>31.74</v>
      </c>
      <c r="S20" s="154" t="n">
        <v>47.61</v>
      </c>
      <c r="T20" s="155" t="n">
        <v>-33.33333333333334</v>
      </c>
      <c r="U20" s="156" t="n">
        <v>15.87</v>
      </c>
      <c r="V20" s="157" t="n">
        <v>63.48</v>
      </c>
      <c r="W20" s="158" t="n">
        <v>-75</v>
      </c>
      <c r="X20" s="159" t="n">
        <v>11.08</v>
      </c>
      <c r="Y20" s="160" t="n">
        <v>15.8</v>
      </c>
      <c r="Z20" s="161" t="n">
        <v>-29.87341772151899</v>
      </c>
      <c r="AA20" s="162" t="n">
        <v>-96.1217587373168</v>
      </c>
    </row>
    <row r="21" ht="17" customHeight="1">
      <c r="A21" s="109" t="inlineStr">
        <is>
          <t>Norse Tradesman Viking Knife Blade</t>
        </is>
      </c>
      <c r="B21" s="110" t="inlineStr">
        <is>
          <t>B08HJN7J5K</t>
        </is>
      </c>
      <c r="C21" s="111" t="n">
        <v>44.87</v>
      </c>
      <c r="D21" s="112" t="n">
        <v>366.96</v>
      </c>
      <c r="E21" s="113" t="n">
        <v>-87.77250926531502</v>
      </c>
      <c r="F21" s="114" t="n">
        <v>1</v>
      </c>
      <c r="G21" s="115" t="n">
        <v>8</v>
      </c>
      <c r="H21" s="116" t="n">
        <v>-87.5</v>
      </c>
      <c r="I21" s="117" t="n">
        <v>412</v>
      </c>
      <c r="J21" s="118" t="n">
        <v>471</v>
      </c>
      <c r="K21" s="180" t="n">
        <v>-12.52653927813163</v>
      </c>
      <c r="L21" s="120" t="n">
        <v>0.24</v>
      </c>
      <c r="M21" s="121" t="n">
        <v>1.7</v>
      </c>
      <c r="N21" s="122" t="n">
        <v>-85.88235294117646</v>
      </c>
      <c r="O21" s="123" t="n">
        <v>112.93</v>
      </c>
      <c r="P21" s="124" t="n">
        <v>15.43</v>
      </c>
      <c r="Q21" s="125" t="n">
        <v>631.8859364873623</v>
      </c>
      <c r="R21" s="126" t="n">
        <v>0</v>
      </c>
      <c r="S21" s="127" t="n">
        <v>89.73999999999999</v>
      </c>
      <c r="T21" s="163" t="n">
        <v>-100</v>
      </c>
      <c r="U21" s="129" t="n">
        <v/>
      </c>
      <c r="V21" s="130" t="n">
        <v>277.22</v>
      </c>
      <c r="W21" s="131" t="n">
        <v/>
      </c>
      <c r="X21" s="132" t="n">
        <v>50.67</v>
      </c>
      <c r="Y21" s="133" t="n">
        <v>56.63</v>
      </c>
      <c r="Z21" s="181" t="n">
        <v>-10.52445700158926</v>
      </c>
      <c r="AA21" s="164" t="n">
        <v>-122.4037519971138</v>
      </c>
    </row>
    <row r="22" ht="17" customHeight="1">
      <c r="A22" s="136" t="inlineStr">
        <is>
          <t>Handforged Medieval Cutlery Set - Stainless Steel Knife…</t>
        </is>
      </c>
      <c r="B22" s="137" t="inlineStr">
        <is>
          <t>B0B46NLHP3</t>
        </is>
      </c>
      <c r="C22" s="138" t="n">
        <v>44.87</v>
      </c>
      <c r="D22" s="139" t="n">
        <v>44.87</v>
      </c>
      <c r="E22" s="165" t="n">
        <v>0</v>
      </c>
      <c r="F22" s="141" t="n">
        <v>1</v>
      </c>
      <c r="G22" s="142" t="n">
        <v>1</v>
      </c>
      <c r="H22" s="166" t="n">
        <v>0</v>
      </c>
      <c r="I22" s="144" t="n">
        <v>52</v>
      </c>
      <c r="J22" s="145" t="n">
        <v>56</v>
      </c>
      <c r="K22" s="146" t="n">
        <v>-7.142857142857142</v>
      </c>
      <c r="L22" s="147" t="n">
        <v>1.92</v>
      </c>
      <c r="M22" s="148" t="n">
        <v>1.79</v>
      </c>
      <c r="N22" s="167" t="n">
        <v>7.262569832402228</v>
      </c>
      <c r="O22" s="150" t="n">
        <v>20.84</v>
      </c>
      <c r="P22" s="151" t="n">
        <v>30.24</v>
      </c>
      <c r="Q22" s="168" t="n">
        <v>-31.08465608465608</v>
      </c>
      <c r="R22" s="153" t="n">
        <v>0</v>
      </c>
      <c r="S22" s="154" t="n">
        <v>0</v>
      </c>
      <c r="T22" s="177" t="n"/>
      <c r="U22" s="156" t="n">
        <v/>
      </c>
      <c r="V22" s="157" t="n">
        <v/>
      </c>
      <c r="W22" s="158" t="n">
        <v/>
      </c>
      <c r="X22" s="159" t="n">
        <v>9.35</v>
      </c>
      <c r="Y22" s="160" t="n">
        <v>13.57</v>
      </c>
      <c r="Z22" s="161" t="n">
        <v>-31.09801031687546</v>
      </c>
      <c r="AA22" s="171" t="n">
        <v>542.2661870503597</v>
      </c>
    </row>
    <row r="23" ht="17" customHeight="1">
      <c r="A23" s="109" t="inlineStr">
        <is>
          <t>Genuine Ox-Horn Candle Holder Cups Natural</t>
        </is>
      </c>
      <c r="B23" s="110" t="inlineStr">
        <is>
          <t>B0CCV98S7K</t>
        </is>
      </c>
      <c r="C23" s="111" t="n">
        <v>43.87</v>
      </c>
      <c r="D23" s="112" t="n">
        <v>0</v>
      </c>
      <c r="E23" s="182" t="n"/>
      <c r="F23" s="114" t="n">
        <v>1</v>
      </c>
      <c r="G23" s="115" t="n">
        <v>0</v>
      </c>
      <c r="H23" s="183" t="n"/>
      <c r="I23" s="117" t="n">
        <v>11</v>
      </c>
      <c r="J23" s="118" t="n">
        <v/>
      </c>
      <c r="K23" s="180" t="n">
        <v/>
      </c>
      <c r="L23" s="120" t="n">
        <v>9.09</v>
      </c>
      <c r="M23" s="121" t="n">
        <v/>
      </c>
      <c r="N23" s="122" t="n">
        <v/>
      </c>
      <c r="O23" s="123" t="n">
        <v>0</v>
      </c>
      <c r="P23" s="124" t="n">
        <v/>
      </c>
      <c r="Q23" s="175" t="n">
        <v/>
      </c>
      <c r="R23" s="126" t="n">
        <v>0</v>
      </c>
      <c r="S23" s="127" t="n">
        <v/>
      </c>
      <c r="T23" s="163" t="n">
        <v/>
      </c>
      <c r="U23" s="129" t="n">
        <v/>
      </c>
      <c r="V23" s="130" t="n">
        <v/>
      </c>
      <c r="W23" s="131" t="n">
        <v/>
      </c>
      <c r="X23" s="132" t="n">
        <v>0</v>
      </c>
      <c r="Y23" s="133" t="n">
        <v/>
      </c>
      <c r="Z23" s="181" t="n">
        <v/>
      </c>
      <c r="AA23" s="164" t="n">
        <v/>
      </c>
    </row>
    <row r="24" ht="22" customHeight="1">
      <c r="A24" s="184" t="inlineStr">
        <is>
          <t>TOTALS / AVERAGES</t>
        </is>
      </c>
      <c r="B24" s="185" t="inlineStr"/>
      <c r="C24" s="186">
        <f>SUM(C5:C23)</f>
        <v/>
      </c>
      <c r="D24" s="187">
        <f>SUM(D5:D23)</f>
        <v/>
      </c>
      <c r="E24" s="188">
        <f>IFERROR((C24/D24-1)*100,"")</f>
        <v/>
      </c>
      <c r="F24" s="189">
        <f>SUM(F5:F23)</f>
        <v/>
      </c>
      <c r="G24" s="190">
        <f>SUM(G5:G23)</f>
        <v/>
      </c>
      <c r="H24" s="188">
        <f>IFERROR((F24/G24-1)*100,"")</f>
        <v/>
      </c>
      <c r="I24" s="189">
        <f>SUM(I5:I23)</f>
        <v/>
      </c>
      <c r="J24" s="190">
        <f>SUM(J5:J23)</f>
        <v/>
      </c>
      <c r="K24" s="188">
        <f>IFERROR((I24/J24-1)*100,"")</f>
        <v/>
      </c>
      <c r="L24" s="191">
        <f>AVERAGE(L5:L23)</f>
        <v/>
      </c>
      <c r="M24" s="192">
        <f>AVERAGE(M5:M23)</f>
        <v/>
      </c>
      <c r="N24" s="188">
        <f>IFERROR((L24/M24-1)*100,"")</f>
        <v/>
      </c>
      <c r="O24" s="191">
        <f>AVERAGE(O5:O23)</f>
        <v/>
      </c>
      <c r="P24" s="192">
        <f>AVERAGE(P5:P23)</f>
        <v/>
      </c>
      <c r="Q24" s="188">
        <f>IFERROR((O24/P24-1)*100,"")</f>
        <v/>
      </c>
      <c r="R24" s="186">
        <f>SUM(R5:R23)</f>
        <v/>
      </c>
      <c r="S24" s="187">
        <f>SUM(S5:S23)</f>
        <v/>
      </c>
      <c r="T24" s="188">
        <f>IFERROR((R24/S24-1)*100,"")</f>
        <v/>
      </c>
      <c r="U24" s="186">
        <f>SUM(U5:U23)</f>
        <v/>
      </c>
      <c r="V24" s="187">
        <f>SUM(V5:V23)</f>
        <v/>
      </c>
      <c r="W24" s="188">
        <f>IFERROR((U24/V24-1)*100,"")</f>
        <v/>
      </c>
      <c r="X24" s="186">
        <f>SUM(X5:X23)</f>
        <v/>
      </c>
      <c r="Y24" s="187">
        <f>SUM(Y5:Y23)</f>
        <v/>
      </c>
      <c r="Z24" s="188">
        <f>IFERROR((X24/Y24-1)*100,"")</f>
        <v/>
      </c>
      <c r="AA24" s="193" t="inlineStr"/>
    </row>
  </sheetData>
  <mergeCells count="10">
    <mergeCell ref="R3:T3"/>
    <mergeCell ref="U3:W3"/>
    <mergeCell ref="L3:N3"/>
    <mergeCell ref="A2:AA2"/>
    <mergeCell ref="C3:E3"/>
    <mergeCell ref="X3:Z3"/>
    <mergeCell ref="I3:K3"/>
    <mergeCell ref="F3:H3"/>
    <mergeCell ref="A1:AA1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2026-03-10T18:29:30Z</dcterms:created>
  <dcterms:modified xmlns:dcterms="http://purl.org/dc/terms/" xmlns:xsi="http://www.w3.org/2001/XMLSchema-instance" xsi:type="dcterms:W3CDTF">2026-03-11T12:41:14Z</dcterms:modified>
</cp:coreProperties>
</file>